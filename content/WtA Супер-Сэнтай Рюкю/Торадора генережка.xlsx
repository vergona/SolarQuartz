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bsidian Circe\Rolling Vault\WtA Супер-Сэнтай Рюкю\"/>
    </mc:Choice>
  </mc:AlternateContent>
  <xr:revisionPtr revIDLastSave="0" documentId="13_ncr:1_{8C03B43C-275F-4047-9AF7-6D5F35C0664C}" xr6:coauthVersionLast="47" xr6:coauthVersionMax="47" xr10:uidLastSave="{00000000-0000-0000-0000-000000000000}"/>
  <bookViews>
    <workbookView xWindow="-118" yWindow="-118" windowWidth="25370" windowHeight="13759" xr2:uid="{8C796DC0-0E5B-43FF-B2DD-E20750249270}"/>
  </bookViews>
  <sheets>
    <sheet name="Лист1" sheetId="1" r:id="rId1"/>
  </sheets>
  <definedNames>
    <definedName name="_xlnm._FilterDatabase" localSheetId="0" hidden="1">Лист1!$G$18:$U$28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8" i="1" l="1"/>
  <c r="L18" i="1"/>
  <c r="M10" i="1"/>
  <c r="L10" i="1"/>
  <c r="M6" i="1"/>
  <c r="L6" i="1"/>
  <c r="L2" i="1"/>
  <c r="M2" i="1"/>
  <c r="AA45" i="1"/>
  <c r="AA44" i="1"/>
  <c r="AA43" i="1"/>
  <c r="AA42" i="1"/>
  <c r="AA41" i="1"/>
  <c r="AA40" i="1"/>
  <c r="AA39" i="1"/>
  <c r="AA38" i="1"/>
  <c r="AA37" i="1"/>
  <c r="AA36" i="1"/>
  <c r="AA34" i="1"/>
  <c r="AA33" i="1"/>
  <c r="AA32" i="1"/>
  <c r="AA31" i="1"/>
  <c r="AA30" i="1"/>
  <c r="AA29" i="1"/>
  <c r="AA28" i="1"/>
  <c r="AA27" i="1"/>
  <c r="AA26" i="1"/>
  <c r="AA25" i="1"/>
  <c r="AA23" i="1"/>
  <c r="AA22" i="1"/>
  <c r="AA21" i="1"/>
  <c r="AA20" i="1"/>
  <c r="AA19" i="1"/>
  <c r="AA18" i="1"/>
  <c r="AA17" i="1"/>
  <c r="AA16" i="1"/>
  <c r="AA15" i="1"/>
  <c r="AA14" i="1"/>
  <c r="AA4" i="1"/>
  <c r="AA5" i="1"/>
  <c r="AA6" i="1"/>
  <c r="AA7" i="1"/>
  <c r="AA8" i="1"/>
  <c r="AA9" i="1"/>
  <c r="AA10" i="1"/>
  <c r="AA11" i="1"/>
  <c r="AA12" i="1"/>
  <c r="AA3" i="1"/>
  <c r="AC35" i="1"/>
  <c r="AB35" i="1"/>
  <c r="AC24" i="1"/>
  <c r="AB24" i="1"/>
  <c r="AC13" i="1"/>
  <c r="AB13" i="1"/>
  <c r="AC2" i="1"/>
  <c r="Y45" i="1"/>
  <c r="Y44" i="1"/>
  <c r="Y43" i="1"/>
  <c r="Y42" i="1"/>
  <c r="Y41" i="1"/>
  <c r="Y37" i="1"/>
  <c r="X37" i="1"/>
  <c r="X38" i="1"/>
  <c r="Y38" i="1" s="1"/>
  <c r="X39" i="1"/>
  <c r="Y39" i="1" s="1"/>
  <c r="X40" i="1"/>
  <c r="Y40" i="1" s="1"/>
  <c r="X36" i="1"/>
  <c r="Y36" i="1" s="1"/>
  <c r="AB2" i="1"/>
  <c r="H59" i="1"/>
  <c r="K59" i="1" s="1"/>
  <c r="H58" i="1"/>
  <c r="L58" i="1" s="1"/>
  <c r="H57" i="1"/>
  <c r="K57" i="1" s="1"/>
  <c r="H55" i="1"/>
  <c r="L55" i="1" s="1"/>
  <c r="H54" i="1"/>
  <c r="I54" i="1" s="1"/>
  <c r="H53" i="1"/>
  <c r="K53" i="1" s="1"/>
  <c r="H50" i="1"/>
  <c r="I50" i="1" s="1"/>
  <c r="H51" i="1"/>
  <c r="L51" i="1" s="1"/>
  <c r="H49" i="1"/>
  <c r="J49" i="1" s="1"/>
  <c r="J51" i="1" l="1"/>
  <c r="K51" i="1"/>
  <c r="I51" i="1"/>
  <c r="I49" i="1"/>
  <c r="L50" i="1"/>
  <c r="L49" i="1"/>
  <c r="K50" i="1"/>
  <c r="K49" i="1"/>
  <c r="J50" i="1"/>
  <c r="O55" i="1"/>
  <c r="J55" i="1" s="1"/>
  <c r="P55" i="1"/>
  <c r="K55" i="1" s="1"/>
  <c r="L57" i="1"/>
  <c r="J59" i="1"/>
  <c r="I58" i="1"/>
  <c r="L59" i="1"/>
  <c r="J58" i="1"/>
  <c r="K58" i="1"/>
  <c r="I57" i="1"/>
  <c r="J57" i="1"/>
  <c r="I59" i="1"/>
  <c r="J54" i="1"/>
  <c r="L53" i="1"/>
  <c r="K54" i="1"/>
  <c r="L54" i="1"/>
  <c r="I53" i="1"/>
  <c r="J53" i="1"/>
  <c r="I55" i="1"/>
  <c r="D20" i="1"/>
  <c r="C20" i="1"/>
  <c r="C19" i="1"/>
  <c r="X34" i="1"/>
  <c r="Y34" i="1" s="1"/>
  <c r="X33" i="1"/>
  <c r="Y33" i="1" s="1"/>
  <c r="X32" i="1"/>
  <c r="Y32" i="1" s="1"/>
  <c r="X31" i="1"/>
  <c r="Y31" i="1" s="1"/>
  <c r="X30" i="1"/>
  <c r="Y30" i="1" s="1"/>
  <c r="X29" i="1"/>
  <c r="Y29" i="1" s="1"/>
  <c r="X28" i="1"/>
  <c r="Y28" i="1" s="1"/>
  <c r="X27" i="1"/>
  <c r="Y27" i="1" s="1"/>
  <c r="X26" i="1"/>
  <c r="Y26" i="1" s="1"/>
  <c r="X25" i="1"/>
  <c r="Y25" i="1" s="1"/>
  <c r="X23" i="1"/>
  <c r="Y23" i="1" s="1"/>
  <c r="X22" i="1"/>
  <c r="Y22" i="1" s="1"/>
  <c r="X21" i="1"/>
  <c r="Y21" i="1" s="1"/>
  <c r="X20" i="1"/>
  <c r="Y20" i="1" s="1"/>
  <c r="X19" i="1"/>
  <c r="Y19" i="1" s="1"/>
  <c r="X18" i="1"/>
  <c r="Y18" i="1" s="1"/>
  <c r="X17" i="1"/>
  <c r="Y17" i="1" s="1"/>
  <c r="X16" i="1"/>
  <c r="Y16" i="1" s="1"/>
  <c r="X15" i="1"/>
  <c r="Y15" i="1" s="1"/>
  <c r="X14" i="1"/>
  <c r="Y14" i="1" s="1"/>
  <c r="X4" i="1"/>
  <c r="Y4" i="1" s="1"/>
  <c r="X5" i="1"/>
  <c r="Y5" i="1" s="1"/>
  <c r="X6" i="1"/>
  <c r="Y6" i="1" s="1"/>
  <c r="X7" i="1"/>
  <c r="Y7" i="1" s="1"/>
  <c r="X8" i="1"/>
  <c r="Y8" i="1" s="1"/>
  <c r="X9" i="1"/>
  <c r="Y9" i="1" s="1"/>
  <c r="X10" i="1"/>
  <c r="Y10" i="1" s="1"/>
  <c r="X11" i="1"/>
  <c r="Y11" i="1" s="1"/>
  <c r="X12" i="1"/>
  <c r="Y12" i="1" s="1"/>
  <c r="X3" i="1"/>
  <c r="Y3" i="1" s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2" i="1"/>
  <c r="AM8" i="1"/>
  <c r="AM9" i="1"/>
  <c r="AM10" i="1"/>
  <c r="AM11" i="1"/>
  <c r="AM12" i="1"/>
  <c r="AM13" i="1"/>
  <c r="AM14" i="1"/>
  <c r="AM15" i="1"/>
  <c r="AM16" i="1"/>
  <c r="AM7" i="1"/>
  <c r="AM6" i="1"/>
  <c r="AM5" i="1"/>
  <c r="AM4" i="1"/>
  <c r="AM3" i="1"/>
  <c r="H3" i="1"/>
  <c r="H17" i="1"/>
  <c r="I17" i="1" s="1"/>
  <c r="K17" i="1" s="1"/>
  <c r="H16" i="1"/>
  <c r="I16" i="1" s="1"/>
  <c r="K16" i="1" s="1"/>
  <c r="H15" i="1"/>
  <c r="I15" i="1" s="1"/>
  <c r="H13" i="1"/>
  <c r="I13" i="1" s="1"/>
  <c r="K13" i="1" s="1"/>
  <c r="H12" i="1"/>
  <c r="I12" i="1" s="1"/>
  <c r="K12" i="1" s="1"/>
  <c r="H11" i="1"/>
  <c r="I11" i="1" s="1"/>
  <c r="K11" i="1" s="1"/>
  <c r="H9" i="1"/>
  <c r="H8" i="1"/>
  <c r="I8" i="1" s="1"/>
  <c r="K8" i="1" s="1"/>
  <c r="H7" i="1"/>
  <c r="I7" i="1" s="1"/>
  <c r="K7" i="1" s="1"/>
  <c r="H5" i="1"/>
  <c r="I5" i="1" s="1"/>
  <c r="K5" i="1" s="1"/>
  <c r="H4" i="1"/>
  <c r="I4" i="1" s="1"/>
  <c r="K4" i="1" s="1"/>
  <c r="I3" i="1" l="1"/>
  <c r="I9" i="1"/>
  <c r="K9" i="1" s="1"/>
  <c r="K15" i="1"/>
  <c r="K3" i="1" l="1"/>
</calcChain>
</file>

<file path=xl/sharedStrings.xml><?xml version="1.0" encoding="utf-8"?>
<sst xmlns="http://schemas.openxmlformats.org/spreadsheetml/2006/main" count="276" uniqueCount="108">
  <si>
    <t>Атрибут</t>
  </si>
  <si>
    <t>5FB за точку</t>
  </si>
  <si>
    <t>тек.знач*4</t>
  </si>
  <si>
    <t>10 new / *7 spec / *8 other</t>
  </si>
  <si>
    <t>тек.знач*8</t>
  </si>
  <si>
    <t>Сила Воли</t>
  </si>
  <si>
    <t>1FB за точку</t>
  </si>
  <si>
    <t>*тек.знач</t>
  </si>
  <si>
    <t>Дополнение</t>
  </si>
  <si>
    <t>тек.знач*3</t>
  </si>
  <si>
    <t>Способность</t>
  </si>
  <si>
    <t>2FB за точку</t>
  </si>
  <si>
    <t>3 за новую, тек.зн.*2</t>
  </si>
  <si>
    <t>Параметр</t>
  </si>
  <si>
    <t>Свободные</t>
  </si>
  <si>
    <t>Опыт</t>
  </si>
  <si>
    <t>атрибуты</t>
  </si>
  <si>
    <t>Физика</t>
  </si>
  <si>
    <t>STR</t>
  </si>
  <si>
    <t>DEX</t>
  </si>
  <si>
    <t>STA</t>
  </si>
  <si>
    <t>Социал</t>
  </si>
  <si>
    <t>CHA</t>
  </si>
  <si>
    <t>MAN</t>
  </si>
  <si>
    <t>APP</t>
  </si>
  <si>
    <t>Ментал</t>
  </si>
  <si>
    <t>PER</t>
  </si>
  <si>
    <t>INT</t>
  </si>
  <si>
    <t>WIT</t>
  </si>
  <si>
    <t>Прочее</t>
  </si>
  <si>
    <t>Воля</t>
  </si>
  <si>
    <t>Предыстории</t>
  </si>
  <si>
    <t>способности</t>
  </si>
  <si>
    <t>таланты</t>
  </si>
  <si>
    <t>Alertness</t>
  </si>
  <si>
    <t>Athletics</t>
  </si>
  <si>
    <t>Brawl</t>
  </si>
  <si>
    <t>Dodge</t>
  </si>
  <si>
    <t>Expression</t>
  </si>
  <si>
    <t>Intimidation</t>
  </si>
  <si>
    <t>Leadership</t>
  </si>
  <si>
    <t>Streetwise</t>
  </si>
  <si>
    <t>Subterfuge</t>
  </si>
  <si>
    <t>навыки</t>
  </si>
  <si>
    <t>Crafts</t>
  </si>
  <si>
    <t>Drive</t>
  </si>
  <si>
    <t>Etiquette</t>
  </si>
  <si>
    <t>Firearms</t>
  </si>
  <si>
    <t>Melee</t>
  </si>
  <si>
    <t>Performance</t>
  </si>
  <si>
    <t>Stealth</t>
  </si>
  <si>
    <t>Survival</t>
  </si>
  <si>
    <t>знания</t>
  </si>
  <si>
    <t>Computer</t>
  </si>
  <si>
    <t>Enigmas</t>
  </si>
  <si>
    <t>Investigation</t>
  </si>
  <si>
    <t>Law</t>
  </si>
  <si>
    <t>Linguistics</t>
  </si>
  <si>
    <t>Medicine</t>
  </si>
  <si>
    <t>Occult</t>
  </si>
  <si>
    <t>Science</t>
  </si>
  <si>
    <t>•</t>
  </si>
  <si>
    <t>навык был</t>
  </si>
  <si>
    <t>навык стал</t>
  </si>
  <si>
    <t>очков</t>
  </si>
  <si>
    <t>Мёльн</t>
  </si>
  <si>
    <t>по базе фриби</t>
  </si>
  <si>
    <t>merits</t>
  </si>
  <si>
    <t>flaws</t>
  </si>
  <si>
    <t>всего</t>
  </si>
  <si>
    <t>потрачено</t>
  </si>
  <si>
    <t>Empathy</t>
  </si>
  <si>
    <t>Primal-Urge</t>
  </si>
  <si>
    <t>Animal Ken</t>
  </si>
  <si>
    <t>Politics</t>
  </si>
  <si>
    <t>Rituals</t>
  </si>
  <si>
    <t>Ярость</t>
  </si>
  <si>
    <t>Гнозис</t>
  </si>
  <si>
    <t>Homid</t>
  </si>
  <si>
    <t>Sokto</t>
  </si>
  <si>
    <t>Crinos</t>
  </si>
  <si>
    <t>Chatro</t>
  </si>
  <si>
    <t>Feline</t>
  </si>
  <si>
    <t>Очки</t>
  </si>
  <si>
    <t>цена +1</t>
  </si>
  <si>
    <t>Очки+БП</t>
  </si>
  <si>
    <t>Сум.свобод</t>
  </si>
  <si>
    <t>Diff</t>
  </si>
  <si>
    <t>7FB за дар(1ур)</t>
  </si>
  <si>
    <t>Дар</t>
  </si>
  <si>
    <t>7--5--3</t>
  </si>
  <si>
    <t>13--9--5</t>
  </si>
  <si>
    <t>Плавание</t>
  </si>
  <si>
    <r>
      <rPr>
        <b/>
        <sz val="11"/>
        <color rgb="FFFF0000"/>
        <rFont val="Calibri"/>
        <family val="2"/>
        <charset val="204"/>
        <scheme val="minor"/>
      </rPr>
      <t>красным</t>
    </r>
    <r>
      <rPr>
        <sz val="11"/>
        <color rgb="FFFF0000"/>
        <rFont val="Calibri"/>
        <family val="2"/>
        <charset val="204"/>
        <scheme val="minor"/>
      </rPr>
      <t xml:space="preserve"> выделен запрет для люпусов брать на стартовых очках, только СО или опыт</t>
    </r>
  </si>
  <si>
    <t>Управление (лодкой)</t>
  </si>
  <si>
    <t>F</t>
  </si>
  <si>
    <t>вторичныкк</t>
  </si>
  <si>
    <t>f</t>
  </si>
  <si>
    <t>Контакты</t>
  </si>
  <si>
    <t>Ментор</t>
  </si>
  <si>
    <t>Обряды</t>
  </si>
  <si>
    <t>Предки</t>
  </si>
  <si>
    <t>Ресурсы</t>
  </si>
  <si>
    <t>Родня</t>
  </si>
  <si>
    <t>Союзники</t>
  </si>
  <si>
    <t>Фетиш</t>
  </si>
  <si>
    <t>Чистота рода</t>
  </si>
  <si>
    <t>Jamak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</si>
</sst>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ED0000"/>
      <name val="Calibri"/>
      <family val="2"/>
      <charset val="204"/>
      <scheme val="minor"/>
    </font>
    <font>
      <i/>
      <sz val="11"/>
      <color rgb="FFED0000"/>
      <name val="Calibri"/>
      <family val="2"/>
      <charset val="204"/>
      <scheme val="minor"/>
    </font>
    <font>
      <sz val="11"/>
      <color theme="5" tint="-0.249977111117893"/>
      <name val="Calibri"/>
      <family val="2"/>
      <charset val="204"/>
      <scheme val="minor"/>
    </font>
    <font>
      <sz val="11"/>
      <color theme="8" tint="-0.249977111117893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sz val="13"/>
      <color rgb="FF7030A0"/>
      <name val="Calibri"/>
      <family val="2"/>
      <charset val="204"/>
      <scheme val="minor"/>
    </font>
    <font>
      <b/>
      <sz val="13"/>
      <color rgb="FFC00000"/>
      <name val="Calibri"/>
      <family val="2"/>
      <charset val="204"/>
      <scheme val="minor"/>
    </font>
    <font>
      <b/>
      <sz val="13"/>
      <color rgb="FF7030A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3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1" xfId="1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10" fillId="2" borderId="0" xfId="1" applyFont="1" applyFill="1"/>
    <xf numFmtId="0" fontId="10" fillId="2" borderId="0" xfId="1" applyFont="1" applyFill="1" applyAlignment="1">
      <alignment horizontal="center"/>
    </xf>
    <xf numFmtId="0" fontId="11" fillId="0" borderId="0" xfId="0" applyFont="1"/>
    <xf numFmtId="0" fontId="11" fillId="3" borderId="0" xfId="1" applyFont="1" applyFill="1"/>
    <xf numFmtId="0" fontId="12" fillId="3" borderId="0" xfId="1" applyFont="1" applyFill="1"/>
    <xf numFmtId="0" fontId="11" fillId="3" borderId="0" xfId="1" applyFont="1" applyFill="1" applyAlignment="1">
      <alignment horizontal="center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3" fillId="4" borderId="0" xfId="1" applyFont="1" applyFill="1"/>
    <xf numFmtId="0" fontId="14" fillId="2" borderId="0" xfId="1" applyFont="1" applyFill="1"/>
    <xf numFmtId="0" fontId="12" fillId="0" borderId="0" xfId="0" applyFont="1"/>
    <xf numFmtId="0" fontId="11" fillId="0" borderId="0" xfId="0" applyFont="1" applyAlignment="1">
      <alignment horizontal="center"/>
    </xf>
    <xf numFmtId="0" fontId="11" fillId="2" borderId="0" xfId="1" applyFont="1" applyFill="1"/>
    <xf numFmtId="0" fontId="1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2" fillId="3" borderId="0" xfId="1" applyFont="1" applyFill="1" applyAlignment="1">
      <alignment horizontal="center"/>
    </xf>
    <xf numFmtId="0" fontId="2" fillId="0" borderId="0" xfId="1" applyFont="1"/>
    <xf numFmtId="0" fontId="3" fillId="0" borderId="0" xfId="1" applyFont="1"/>
    <xf numFmtId="0" fontId="16" fillId="0" borderId="0" xfId="1" applyFont="1"/>
    <xf numFmtId="0" fontId="16" fillId="0" borderId="0" xfId="0" applyFont="1"/>
    <xf numFmtId="0" fontId="15" fillId="0" borderId="0" xfId="0" applyFont="1" applyAlignment="1">
      <alignment horizontal="center" vertical="top" wrapText="1"/>
    </xf>
    <xf numFmtId="0" fontId="11" fillId="2" borderId="0" xfId="1" applyFont="1" applyFill="1" applyAlignment="1">
      <alignment horizontal="center"/>
    </xf>
  </cellXfs>
  <cellStyles count="2">
    <cellStyle name="Обычный" xfId="0" builtinId="0"/>
    <cellStyle name="Обычный 2" xfId="1" xr:uid="{8FDA4460-39BB-40B1-9483-50C7FBA2CEAC}"/>
  </cellStyles>
  <dxfs count="8">
    <dxf>
      <font>
        <color auto="1"/>
      </font>
      <numFmt numFmtId="164" formatCode=";;;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 patternType="solid">
          <bgColor theme="2"/>
        </patternFill>
      </fill>
    </dxf>
    <dxf>
      <font>
        <color auto="1"/>
      </font>
      <numFmt numFmtId="164" formatCode=";;;"/>
    </dxf>
    <dxf>
      <font>
        <color auto="1"/>
      </font>
      <numFmt numFmtId="164" formatCode=";;;"/>
    </dxf>
    <dxf>
      <font>
        <color auto="1"/>
      </font>
      <numFmt numFmtId="164" formatCode=";;;"/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4DBB-4B9B-4D76-BD41-0582AD509625}">
  <dimension ref="B1:AM59"/>
  <sheetViews>
    <sheetView tabSelected="1" topLeftCell="A7" zoomScale="60" zoomScaleNormal="60" workbookViewId="0">
      <selection activeCell="P22" sqref="N22:P22"/>
    </sheetView>
  </sheetViews>
  <sheetFormatPr defaultColWidth="8.77734375" defaultRowHeight="17.05" x14ac:dyDescent="0.3"/>
  <cols>
    <col min="1" max="1" width="3.88671875" bestFit="1" customWidth="1"/>
    <col min="2" max="2" width="13.88671875" customWidth="1"/>
    <col min="3" max="3" width="20.109375" bestFit="1" customWidth="1"/>
    <col min="4" max="5" width="18.77734375" customWidth="1"/>
    <col min="7" max="7" width="16.21875" style="14" customWidth="1"/>
    <col min="8" max="8" width="9.6640625" style="23" bestFit="1" customWidth="1"/>
    <col min="9" max="9" width="10" style="14" bestFit="1" customWidth="1"/>
    <col min="10" max="10" width="11.6640625" style="14" bestFit="1" customWidth="1"/>
    <col min="11" max="11" width="15.33203125" style="14" bestFit="1" customWidth="1"/>
    <col min="12" max="12" width="6.77734375" style="24" bestFit="1" customWidth="1"/>
    <col min="13" max="21" width="4.6640625" style="24" customWidth="1"/>
    <col min="22" max="22" width="4.6640625" style="14" customWidth="1"/>
    <col min="23" max="23" width="22.88671875" style="14" bestFit="1" customWidth="1"/>
    <col min="24" max="24" width="9.6640625" style="14" bestFit="1" customWidth="1"/>
    <col min="25" max="25" width="10" style="14" bestFit="1" customWidth="1"/>
    <col min="26" max="26" width="8.77734375" style="14" customWidth="1"/>
    <col min="27" max="27" width="12.5546875" style="14" bestFit="1" customWidth="1"/>
    <col min="28" max="32" width="4.5546875" style="14" customWidth="1"/>
  </cols>
  <sheetData>
    <row r="1" spans="2:39" x14ac:dyDescent="0.3">
      <c r="B1" s="1" t="s">
        <v>13</v>
      </c>
      <c r="C1" s="1" t="s">
        <v>14</v>
      </c>
      <c r="D1" s="29" t="s">
        <v>15</v>
      </c>
      <c r="E1" s="29"/>
      <c r="G1" s="12" t="s">
        <v>16</v>
      </c>
      <c r="H1" s="12" t="s">
        <v>83</v>
      </c>
      <c r="I1" s="12" t="s">
        <v>85</v>
      </c>
      <c r="J1" s="12" t="s">
        <v>84</v>
      </c>
      <c r="K1" s="12" t="s">
        <v>86</v>
      </c>
      <c r="L1" s="13">
        <v>1</v>
      </c>
      <c r="M1" s="13">
        <v>2</v>
      </c>
      <c r="N1" s="13">
        <v>3</v>
      </c>
      <c r="O1" s="13">
        <v>4</v>
      </c>
      <c r="P1" s="13">
        <v>5</v>
      </c>
      <c r="Q1" s="13">
        <v>6</v>
      </c>
      <c r="R1" s="13">
        <v>7</v>
      </c>
      <c r="S1" s="13">
        <v>8</v>
      </c>
      <c r="T1" s="13">
        <v>9</v>
      </c>
      <c r="U1" s="13">
        <v>10</v>
      </c>
      <c r="W1" s="12" t="s">
        <v>32</v>
      </c>
      <c r="X1" s="12" t="s">
        <v>83</v>
      </c>
      <c r="Y1" s="12" t="s">
        <v>85</v>
      </c>
      <c r="Z1" s="12" t="s">
        <v>84</v>
      </c>
      <c r="AA1" s="12" t="s">
        <v>86</v>
      </c>
      <c r="AB1" s="13">
        <v>1</v>
      </c>
      <c r="AC1" s="13">
        <v>2</v>
      </c>
      <c r="AD1" s="13">
        <v>3</v>
      </c>
      <c r="AE1" s="13">
        <v>4</v>
      </c>
      <c r="AF1" s="13">
        <v>5</v>
      </c>
      <c r="AK1" s="2" t="s">
        <v>62</v>
      </c>
      <c r="AL1" s="2" t="s">
        <v>63</v>
      </c>
      <c r="AM1" t="s">
        <v>64</v>
      </c>
    </row>
    <row r="2" spans="2:39" x14ac:dyDescent="0.3">
      <c r="B2" s="2" t="s">
        <v>0</v>
      </c>
      <c r="C2" s="2" t="s">
        <v>1</v>
      </c>
      <c r="D2" s="30" t="s">
        <v>2</v>
      </c>
      <c r="E2" s="30"/>
      <c r="G2" s="15" t="s">
        <v>17</v>
      </c>
      <c r="H2" s="16" t="s">
        <v>90</v>
      </c>
      <c r="I2" s="15"/>
      <c r="J2" s="15"/>
      <c r="K2" s="15"/>
      <c r="L2" s="17">
        <f>COUNTIF($L3:$U5,"•")-3</f>
        <v>7</v>
      </c>
      <c r="M2" s="17">
        <f>COUNTIF($L3:$U5,"F")</f>
        <v>0</v>
      </c>
      <c r="N2" s="17"/>
      <c r="O2" s="17"/>
      <c r="P2" s="17"/>
      <c r="Q2" s="17"/>
      <c r="R2" s="17"/>
      <c r="S2" s="17"/>
      <c r="T2" s="17"/>
      <c r="U2" s="17"/>
      <c r="W2" s="15" t="s">
        <v>33</v>
      </c>
      <c r="X2" s="16" t="s">
        <v>91</v>
      </c>
      <c r="Y2" s="15"/>
      <c r="Z2" s="15"/>
      <c r="AA2" s="15"/>
      <c r="AB2" s="17">
        <f>COUNTIF($AB3:$AG12,"•")</f>
        <v>21</v>
      </c>
      <c r="AC2" s="17">
        <f>COUNTIF($AB3:$AG12,"F")</f>
        <v>0</v>
      </c>
      <c r="AD2" s="17"/>
      <c r="AE2" s="17"/>
      <c r="AF2" s="17"/>
      <c r="AJ2" t="str">
        <f t="shared" ref="AJ2:AJ16" si="0">"_"&amp;AK2&amp;AL2</f>
        <v>_01</v>
      </c>
      <c r="AK2">
        <v>0</v>
      </c>
      <c r="AL2">
        <v>1</v>
      </c>
      <c r="AM2" s="4">
        <v>3</v>
      </c>
    </row>
    <row r="3" spans="2:39" x14ac:dyDescent="0.3">
      <c r="B3" s="2" t="s">
        <v>10</v>
      </c>
      <c r="C3" s="2" t="s">
        <v>11</v>
      </c>
      <c r="D3" s="30" t="s">
        <v>12</v>
      </c>
      <c r="E3" s="30"/>
      <c r="G3" s="18" t="s">
        <v>18</v>
      </c>
      <c r="H3" s="19" t="str">
        <f>REPT("•",COUNTIF($L3:$V3,"•"))</f>
        <v>••••</v>
      </c>
      <c r="I3" s="18" t="str">
        <f>H3&amp;REPT("•",COUNTIF($L3:$V3,"@"))</f>
        <v>••••</v>
      </c>
      <c r="J3" s="18">
        <v>5</v>
      </c>
      <c r="K3" s="18">
        <f>IF(I3=H3,0,J3)</f>
        <v>0</v>
      </c>
      <c r="L3" s="20" t="s">
        <v>61</v>
      </c>
      <c r="M3" s="20" t="s">
        <v>61</v>
      </c>
      <c r="N3" s="20" t="s">
        <v>61</v>
      </c>
      <c r="O3" s="20" t="s">
        <v>61</v>
      </c>
      <c r="P3" s="20"/>
      <c r="Q3" s="20"/>
      <c r="R3" s="20"/>
      <c r="S3" s="20"/>
      <c r="T3" s="20"/>
      <c r="U3" s="20"/>
      <c r="W3" s="18" t="s">
        <v>34</v>
      </c>
      <c r="X3" s="19" t="str">
        <f>REPT("•",COUNTIF($AB3:$AG3,"•"))</f>
        <v>•••</v>
      </c>
      <c r="Y3" s="18" t="str">
        <f>X3&amp;REPT("•",COUNTIF($AB3:$AG3,"F"))&amp;REPT("•",COUNTIF($AB3:$AG3,"@"))</f>
        <v>•••</v>
      </c>
      <c r="Z3" s="18">
        <v>2</v>
      </c>
      <c r="AA3" s="18">
        <f>COUNTIF($AB3:$AG3,"F")*Z3</f>
        <v>0</v>
      </c>
      <c r="AB3" s="20" t="s">
        <v>61</v>
      </c>
      <c r="AC3" s="20" t="s">
        <v>61</v>
      </c>
      <c r="AD3" s="20" t="s">
        <v>61</v>
      </c>
      <c r="AE3" s="20"/>
      <c r="AF3" s="20"/>
      <c r="AJ3" t="str">
        <f t="shared" si="0"/>
        <v>_02</v>
      </c>
      <c r="AK3">
        <v>0</v>
      </c>
      <c r="AL3">
        <v>2</v>
      </c>
      <c r="AM3" s="5">
        <f>3+(AL3-AK3)*(AL3+AK3-1)</f>
        <v>5</v>
      </c>
    </row>
    <row r="4" spans="2:39" x14ac:dyDescent="0.3">
      <c r="B4" s="2" t="s">
        <v>8</v>
      </c>
      <c r="C4" s="2" t="s">
        <v>6</v>
      </c>
      <c r="D4" s="30" t="s">
        <v>9</v>
      </c>
      <c r="E4" s="30"/>
      <c r="G4" s="18" t="s">
        <v>19</v>
      </c>
      <c r="H4" s="19" t="str">
        <f>REPT("•",COUNTIF($L4:$V4,"•"))</f>
        <v>•••</v>
      </c>
      <c r="I4" s="18" t="str">
        <f>H4&amp;REPT("•",COUNTIF($L4:$V4,"@"))</f>
        <v>•••</v>
      </c>
      <c r="J4" s="18">
        <v>5</v>
      </c>
      <c r="K4" s="18">
        <f t="shared" ref="K4:K5" si="1">IF(I4=H4,0,J4)</f>
        <v>0</v>
      </c>
      <c r="L4" s="20" t="s">
        <v>61</v>
      </c>
      <c r="M4" s="20" t="s">
        <v>61</v>
      </c>
      <c r="N4" s="20" t="s">
        <v>61</v>
      </c>
      <c r="O4" s="20"/>
      <c r="P4" s="20"/>
      <c r="Q4" s="20"/>
      <c r="R4" s="20"/>
      <c r="S4" s="20"/>
      <c r="T4" s="20"/>
      <c r="U4" s="20"/>
      <c r="W4" s="18" t="s">
        <v>35</v>
      </c>
      <c r="X4" s="19" t="str">
        <f t="shared" ref="X4:X12" si="2">REPT("•",COUNTIF($AB4:$AG4,"•"))</f>
        <v>•••</v>
      </c>
      <c r="Y4" s="18" t="str">
        <f t="shared" ref="Y4:Y12" si="3">X4&amp;REPT("•",COUNTIF($AB4:$AG4,"F"))&amp;REPT("•",COUNTIF($AB4:$AG4,"@"))</f>
        <v>•••</v>
      </c>
      <c r="Z4" s="18">
        <v>2</v>
      </c>
      <c r="AA4" s="18">
        <f t="shared" ref="AA4:AA12" si="4">COUNTIF($AB4:$AG4,"F")*Z4</f>
        <v>0</v>
      </c>
      <c r="AB4" s="20" t="s">
        <v>61</v>
      </c>
      <c r="AC4" s="20" t="s">
        <v>61</v>
      </c>
      <c r="AD4" s="20" t="s">
        <v>61</v>
      </c>
      <c r="AE4" s="20"/>
      <c r="AF4" s="20"/>
      <c r="AJ4" t="str">
        <f t="shared" si="0"/>
        <v>_03</v>
      </c>
      <c r="AK4">
        <v>0</v>
      </c>
      <c r="AL4">
        <v>3</v>
      </c>
      <c r="AM4" s="5">
        <f>3+(AL4-AK4)*(AL4+AK4-1)</f>
        <v>9</v>
      </c>
    </row>
    <row r="5" spans="2:39" x14ac:dyDescent="0.3">
      <c r="B5" s="2" t="s">
        <v>5</v>
      </c>
      <c r="C5" s="2" t="s">
        <v>6</v>
      </c>
      <c r="D5" s="30" t="s">
        <v>7</v>
      </c>
      <c r="E5" s="30"/>
      <c r="G5" s="18" t="s">
        <v>20</v>
      </c>
      <c r="H5" s="19" t="str">
        <f>REPT("•",COUNTIF($L5:$V5,"•"))</f>
        <v>•••</v>
      </c>
      <c r="I5" s="18" t="str">
        <f>H5&amp;REPT("•",COUNTIF($L5:$V5,"@"))</f>
        <v>•••</v>
      </c>
      <c r="J5" s="18">
        <v>5</v>
      </c>
      <c r="K5" s="18">
        <f t="shared" si="1"/>
        <v>0</v>
      </c>
      <c r="L5" s="20" t="s">
        <v>61</v>
      </c>
      <c r="M5" s="20" t="s">
        <v>61</v>
      </c>
      <c r="N5" s="20" t="s">
        <v>61</v>
      </c>
      <c r="O5" s="20"/>
      <c r="P5" s="20"/>
      <c r="Q5" s="20"/>
      <c r="R5" s="20"/>
      <c r="S5" s="20"/>
      <c r="T5" s="20"/>
      <c r="U5" s="20"/>
      <c r="W5" s="18" t="s">
        <v>36</v>
      </c>
      <c r="X5" s="19" t="str">
        <f t="shared" si="2"/>
        <v>•••</v>
      </c>
      <c r="Y5" s="18" t="str">
        <f t="shared" si="3"/>
        <v>•••</v>
      </c>
      <c r="Z5" s="18">
        <v>2</v>
      </c>
      <c r="AA5" s="18">
        <f t="shared" si="4"/>
        <v>0</v>
      </c>
      <c r="AB5" s="20" t="s">
        <v>61</v>
      </c>
      <c r="AC5" s="20" t="s">
        <v>61</v>
      </c>
      <c r="AD5" s="20" t="s">
        <v>61</v>
      </c>
      <c r="AE5" s="20"/>
      <c r="AF5" s="20"/>
      <c r="AJ5" t="str">
        <f t="shared" si="0"/>
        <v>_04</v>
      </c>
      <c r="AK5">
        <v>0</v>
      </c>
      <c r="AL5">
        <v>4</v>
      </c>
      <c r="AM5" s="5">
        <f>3+(AL5-AK5)*(AL5+AK5-1)</f>
        <v>15</v>
      </c>
    </row>
    <row r="6" spans="2:39" x14ac:dyDescent="0.3">
      <c r="B6" s="2" t="s">
        <v>89</v>
      </c>
      <c r="C6" s="2" t="s">
        <v>88</v>
      </c>
      <c r="D6" s="30" t="s">
        <v>3</v>
      </c>
      <c r="E6" s="30"/>
      <c r="G6" s="15" t="s">
        <v>21</v>
      </c>
      <c r="H6" s="16"/>
      <c r="I6" s="15"/>
      <c r="J6" s="15"/>
      <c r="K6" s="15"/>
      <c r="L6" s="17">
        <f>COUNTIF($L7:$U9,"•")-3</f>
        <v>3</v>
      </c>
      <c r="M6" s="17">
        <f>COUNTIF($L7:$U9,"F")</f>
        <v>0</v>
      </c>
      <c r="N6" s="17"/>
      <c r="O6" s="17"/>
      <c r="P6" s="17"/>
      <c r="Q6" s="17"/>
      <c r="R6" s="17"/>
      <c r="S6" s="17"/>
      <c r="T6" s="17"/>
      <c r="U6" s="17"/>
      <c r="W6" s="18" t="s">
        <v>37</v>
      </c>
      <c r="X6" s="19" t="str">
        <f t="shared" si="2"/>
        <v>•••</v>
      </c>
      <c r="Y6" s="18" t="str">
        <f t="shared" si="3"/>
        <v>•••</v>
      </c>
      <c r="Z6" s="18">
        <v>2</v>
      </c>
      <c r="AA6" s="18">
        <f t="shared" si="4"/>
        <v>0</v>
      </c>
      <c r="AB6" s="20" t="s">
        <v>61</v>
      </c>
      <c r="AC6" s="20" t="s">
        <v>61</v>
      </c>
      <c r="AD6" s="20" t="s">
        <v>61</v>
      </c>
      <c r="AE6" s="20"/>
      <c r="AF6" s="20"/>
      <c r="AJ6" t="str">
        <f t="shared" si="0"/>
        <v>_05</v>
      </c>
      <c r="AK6">
        <v>0</v>
      </c>
      <c r="AL6">
        <v>5</v>
      </c>
      <c r="AM6" s="5">
        <f>3+(AL6-AK6)*(AL6+AK6-1)</f>
        <v>23</v>
      </c>
    </row>
    <row r="7" spans="2:39" x14ac:dyDescent="0.3">
      <c r="B7" s="2" t="s">
        <v>76</v>
      </c>
      <c r="C7" s="2" t="s">
        <v>6</v>
      </c>
      <c r="D7" s="30" t="s">
        <v>4</v>
      </c>
      <c r="E7" s="30"/>
      <c r="G7" s="18" t="s">
        <v>22</v>
      </c>
      <c r="H7" s="19" t="str">
        <f>REPT("•",COUNTIF($L7:$V7,"•"))</f>
        <v>•••</v>
      </c>
      <c r="I7" s="18" t="str">
        <f>H7&amp;REPT("•",COUNTIF($L7:$V7,"@"))</f>
        <v>•••</v>
      </c>
      <c r="J7" s="18">
        <v>5</v>
      </c>
      <c r="K7" s="18">
        <f>IF(I7=H7,0,J7)</f>
        <v>0</v>
      </c>
      <c r="L7" s="20" t="s">
        <v>61</v>
      </c>
      <c r="M7" s="20" t="s">
        <v>61</v>
      </c>
      <c r="N7" s="20" t="s">
        <v>61</v>
      </c>
      <c r="O7" s="20"/>
      <c r="P7" s="20"/>
      <c r="Q7" s="20"/>
      <c r="R7" s="20"/>
      <c r="S7" s="20"/>
      <c r="T7" s="20"/>
      <c r="U7" s="20"/>
      <c r="W7" s="14" t="s">
        <v>71</v>
      </c>
      <c r="X7" s="19" t="str">
        <f t="shared" si="2"/>
        <v>••</v>
      </c>
      <c r="Y7" s="18" t="str">
        <f t="shared" si="3"/>
        <v>••</v>
      </c>
      <c r="Z7" s="18">
        <v>2</v>
      </c>
      <c r="AA7" s="18">
        <f t="shared" si="4"/>
        <v>0</v>
      </c>
      <c r="AB7" s="20" t="s">
        <v>61</v>
      </c>
      <c r="AC7" s="20" t="s">
        <v>61</v>
      </c>
      <c r="AD7" s="20"/>
      <c r="AE7" s="20"/>
      <c r="AF7" s="20"/>
      <c r="AJ7" t="str">
        <f t="shared" si="0"/>
        <v>_12</v>
      </c>
      <c r="AK7">
        <v>1</v>
      </c>
      <c r="AL7">
        <v>2</v>
      </c>
      <c r="AM7" s="7">
        <f>(AL7-AK7)*(AL7+AK7-1)</f>
        <v>2</v>
      </c>
    </row>
    <row r="8" spans="2:39" x14ac:dyDescent="0.3">
      <c r="B8" s="3" t="s">
        <v>77</v>
      </c>
      <c r="C8" s="3" t="s">
        <v>11</v>
      </c>
      <c r="D8" s="30"/>
      <c r="E8" s="30"/>
      <c r="G8" s="18" t="s">
        <v>23</v>
      </c>
      <c r="H8" s="19" t="str">
        <f>REPT("•",COUNTIF($L8:$V8,"•"))</f>
        <v>•</v>
      </c>
      <c r="I8" s="18" t="str">
        <f>H8&amp;REPT("•",COUNTIF($L8:$V8,"@"))</f>
        <v>•</v>
      </c>
      <c r="J8" s="18">
        <v>5</v>
      </c>
      <c r="K8" s="18">
        <f t="shared" ref="K8:K9" si="5">IF(I8=H8,0,J8)</f>
        <v>0</v>
      </c>
      <c r="L8" s="20" t="s">
        <v>61</v>
      </c>
      <c r="M8" s="20"/>
      <c r="N8" s="20"/>
      <c r="O8" s="20"/>
      <c r="P8" s="20"/>
      <c r="Q8" s="20"/>
      <c r="R8" s="20"/>
      <c r="S8" s="20"/>
      <c r="T8" s="20"/>
      <c r="U8" s="20"/>
      <c r="W8" s="18" t="s">
        <v>38</v>
      </c>
      <c r="X8" s="19" t="str">
        <f t="shared" si="2"/>
        <v>•</v>
      </c>
      <c r="Y8" s="18" t="str">
        <f t="shared" si="3"/>
        <v>•</v>
      </c>
      <c r="Z8" s="18">
        <v>2</v>
      </c>
      <c r="AA8" s="18">
        <f t="shared" si="4"/>
        <v>0</v>
      </c>
      <c r="AB8" s="20" t="s">
        <v>61</v>
      </c>
      <c r="AC8" s="20"/>
      <c r="AD8" s="20"/>
      <c r="AE8" s="20"/>
      <c r="AF8" s="20"/>
      <c r="AJ8" t="str">
        <f t="shared" si="0"/>
        <v>_13</v>
      </c>
      <c r="AK8">
        <v>1</v>
      </c>
      <c r="AL8">
        <v>3</v>
      </c>
      <c r="AM8" s="7">
        <f t="shared" ref="AM8:AM16" si="6">(AL8-AK8)*(AL8+AK8-1)</f>
        <v>6</v>
      </c>
    </row>
    <row r="9" spans="2:39" x14ac:dyDescent="0.3">
      <c r="G9" s="21" t="s">
        <v>24</v>
      </c>
      <c r="H9" s="19" t="str">
        <f>REPT("•",COUNTIF($L9:$V9,"•"))</f>
        <v>••</v>
      </c>
      <c r="I9" s="18" t="str">
        <f>H9&amp;REPT("•",COUNTIF($L9:$V9,"@"))</f>
        <v>••</v>
      </c>
      <c r="J9" s="18">
        <v>5</v>
      </c>
      <c r="K9" s="18">
        <f t="shared" si="5"/>
        <v>0</v>
      </c>
      <c r="L9" s="20" t="s">
        <v>61</v>
      </c>
      <c r="M9" s="20" t="s">
        <v>61</v>
      </c>
      <c r="N9" s="20"/>
      <c r="O9" s="20"/>
      <c r="P9" s="20"/>
      <c r="Q9" s="20"/>
      <c r="R9" s="20"/>
      <c r="S9" s="20"/>
      <c r="T9" s="20"/>
      <c r="U9" s="20"/>
      <c r="W9" s="18" t="s">
        <v>39</v>
      </c>
      <c r="X9" s="19" t="str">
        <f t="shared" si="2"/>
        <v>••</v>
      </c>
      <c r="Y9" s="18" t="str">
        <f t="shared" si="3"/>
        <v>••</v>
      </c>
      <c r="Z9" s="18">
        <v>2</v>
      </c>
      <c r="AA9" s="18">
        <f t="shared" si="4"/>
        <v>0</v>
      </c>
      <c r="AB9" s="20" t="s">
        <v>61</v>
      </c>
      <c r="AC9" s="20" t="s">
        <v>61</v>
      </c>
      <c r="AD9" s="20"/>
      <c r="AE9" s="20"/>
      <c r="AF9" s="20"/>
      <c r="AJ9" t="str">
        <f t="shared" si="0"/>
        <v>_14</v>
      </c>
      <c r="AK9">
        <v>1</v>
      </c>
      <c r="AL9">
        <v>4</v>
      </c>
      <c r="AM9" s="7">
        <f t="shared" si="6"/>
        <v>12</v>
      </c>
    </row>
    <row r="10" spans="2:39" x14ac:dyDescent="0.3">
      <c r="B10" s="1" t="s">
        <v>13</v>
      </c>
      <c r="C10" s="1" t="s">
        <v>14</v>
      </c>
      <c r="D10" s="1" t="s">
        <v>65</v>
      </c>
      <c r="E10" s="1"/>
      <c r="F10" s="1"/>
      <c r="G10" s="15" t="s">
        <v>25</v>
      </c>
      <c r="H10" s="16"/>
      <c r="I10" s="15"/>
      <c r="J10" s="15"/>
      <c r="K10" s="15"/>
      <c r="L10" s="17">
        <f>COUNTIF($L11:$U13,"•")-3</f>
        <v>5</v>
      </c>
      <c r="M10" s="17">
        <f>COUNTIF($L11:$U13,"F")</f>
        <v>0</v>
      </c>
      <c r="N10" s="17"/>
      <c r="O10" s="17"/>
      <c r="P10" s="17"/>
      <c r="Q10" s="17"/>
      <c r="R10" s="17"/>
      <c r="S10" s="17"/>
      <c r="T10" s="17"/>
      <c r="U10" s="17"/>
      <c r="W10" s="14" t="s">
        <v>72</v>
      </c>
      <c r="X10" s="19" t="str">
        <f t="shared" si="2"/>
        <v>••</v>
      </c>
      <c r="Y10" s="18" t="str">
        <f t="shared" si="3"/>
        <v>••</v>
      </c>
      <c r="Z10" s="18">
        <v>2</v>
      </c>
      <c r="AA10" s="18">
        <f t="shared" si="4"/>
        <v>0</v>
      </c>
      <c r="AB10" s="20" t="s">
        <v>61</v>
      </c>
      <c r="AC10" s="20" t="s">
        <v>61</v>
      </c>
      <c r="AD10" s="20"/>
      <c r="AE10" s="20"/>
      <c r="AF10" s="20"/>
      <c r="AJ10" t="str">
        <f t="shared" si="0"/>
        <v>_15</v>
      </c>
      <c r="AK10">
        <v>1</v>
      </c>
      <c r="AL10">
        <v>5</v>
      </c>
      <c r="AM10" s="7">
        <f t="shared" si="6"/>
        <v>20</v>
      </c>
    </row>
    <row r="11" spans="2:39" x14ac:dyDescent="0.3">
      <c r="B11" s="2" t="s">
        <v>0</v>
      </c>
      <c r="C11" s="10"/>
      <c r="D11" s="10"/>
      <c r="E11" s="10"/>
      <c r="F11" s="10"/>
      <c r="G11" s="21" t="s">
        <v>26</v>
      </c>
      <c r="H11" s="19" t="str">
        <f>REPT("•",COUNTIF($L11:$V11,"•"))</f>
        <v>•••</v>
      </c>
      <c r="I11" s="18" t="str">
        <f>H11&amp;REPT("•",COUNTIF($L11:$V11,"@"))</f>
        <v>•••</v>
      </c>
      <c r="J11" s="18">
        <v>5</v>
      </c>
      <c r="K11" s="18">
        <f>IF(I11=H11,0,J11)</f>
        <v>0</v>
      </c>
      <c r="L11" s="20" t="s">
        <v>61</v>
      </c>
      <c r="M11" s="20" t="s">
        <v>61</v>
      </c>
      <c r="N11" s="20" t="s">
        <v>61</v>
      </c>
      <c r="O11" s="20"/>
      <c r="P11" s="20"/>
      <c r="Q11" s="20"/>
      <c r="R11" s="20"/>
      <c r="S11" s="20"/>
      <c r="T11" s="20"/>
      <c r="U11" s="20"/>
      <c r="W11" s="18" t="s">
        <v>41</v>
      </c>
      <c r="X11" s="19" t="str">
        <f t="shared" si="2"/>
        <v>•</v>
      </c>
      <c r="Y11" s="18" t="str">
        <f t="shared" si="3"/>
        <v>•</v>
      </c>
      <c r="Z11" s="18">
        <v>2</v>
      </c>
      <c r="AA11" s="18">
        <f t="shared" si="4"/>
        <v>0</v>
      </c>
      <c r="AB11" s="20" t="s">
        <v>61</v>
      </c>
      <c r="AC11" s="20"/>
      <c r="AD11" s="20"/>
      <c r="AE11" s="20"/>
      <c r="AF11" s="20"/>
      <c r="AJ11" t="str">
        <f t="shared" si="0"/>
        <v>_23</v>
      </c>
      <c r="AK11">
        <v>2</v>
      </c>
      <c r="AL11">
        <v>3</v>
      </c>
      <c r="AM11" s="8">
        <f t="shared" si="6"/>
        <v>4</v>
      </c>
    </row>
    <row r="12" spans="2:39" x14ac:dyDescent="0.3">
      <c r="B12" s="2" t="s">
        <v>10</v>
      </c>
      <c r="C12" s="10"/>
      <c r="D12" s="10"/>
      <c r="E12" s="10"/>
      <c r="F12" s="10"/>
      <c r="G12" s="18" t="s">
        <v>27</v>
      </c>
      <c r="H12" s="19" t="str">
        <f>REPT("•",COUNTIF($L12:$V12,"•"))</f>
        <v>••</v>
      </c>
      <c r="I12" s="18" t="str">
        <f>H12&amp;REPT("•",COUNTIF($L12:$V12,"@"))</f>
        <v>••</v>
      </c>
      <c r="J12" s="18">
        <v>5</v>
      </c>
      <c r="K12" s="18">
        <f t="shared" ref="K12:K13" si="7">IF(I12=H12,0,J12)</f>
        <v>0</v>
      </c>
      <c r="L12" s="20" t="s">
        <v>61</v>
      </c>
      <c r="M12" s="20" t="s">
        <v>61</v>
      </c>
      <c r="N12" s="20"/>
      <c r="O12" s="20"/>
      <c r="P12" s="20"/>
      <c r="Q12" s="20"/>
      <c r="R12" s="20"/>
      <c r="S12" s="20"/>
      <c r="T12" s="20"/>
      <c r="U12" s="20"/>
      <c r="W12" s="18" t="s">
        <v>42</v>
      </c>
      <c r="X12" s="19" t="str">
        <f t="shared" si="2"/>
        <v>•</v>
      </c>
      <c r="Y12" s="18" t="str">
        <f t="shared" si="3"/>
        <v>•</v>
      </c>
      <c r="Z12" s="18">
        <v>2</v>
      </c>
      <c r="AA12" s="18">
        <f t="shared" si="4"/>
        <v>0</v>
      </c>
      <c r="AB12" s="20" t="s">
        <v>61</v>
      </c>
      <c r="AC12" s="20"/>
      <c r="AD12" s="20"/>
      <c r="AE12" s="20"/>
      <c r="AF12" s="20"/>
      <c r="AJ12" t="str">
        <f t="shared" si="0"/>
        <v>_24</v>
      </c>
      <c r="AK12">
        <v>2</v>
      </c>
      <c r="AL12">
        <v>4</v>
      </c>
      <c r="AM12" s="8">
        <f t="shared" si="6"/>
        <v>10</v>
      </c>
    </row>
    <row r="13" spans="2:39" x14ac:dyDescent="0.3">
      <c r="B13" s="2" t="s">
        <v>8</v>
      </c>
      <c r="C13" s="10"/>
      <c r="D13" s="10"/>
      <c r="E13" s="10"/>
      <c r="F13" s="10"/>
      <c r="G13" s="18" t="s">
        <v>28</v>
      </c>
      <c r="H13" s="19" t="str">
        <f>REPT("•",COUNTIF($L13:$V13,"•"))</f>
        <v>•••</v>
      </c>
      <c r="I13" s="18" t="str">
        <f>H13&amp;REPT("•",COUNTIF($L13:$V13,"@"))</f>
        <v>•••</v>
      </c>
      <c r="J13" s="18">
        <v>5</v>
      </c>
      <c r="K13" s="18">
        <f t="shared" si="7"/>
        <v>0</v>
      </c>
      <c r="L13" s="20" t="s">
        <v>61</v>
      </c>
      <c r="M13" s="20" t="s">
        <v>61</v>
      </c>
      <c r="N13" s="20" t="s">
        <v>61</v>
      </c>
      <c r="O13" s="20"/>
      <c r="P13" s="20"/>
      <c r="Q13" s="20"/>
      <c r="R13" s="20"/>
      <c r="S13" s="20"/>
      <c r="T13" s="20"/>
      <c r="U13" s="20"/>
      <c r="W13" s="15" t="s">
        <v>43</v>
      </c>
      <c r="X13" s="16"/>
      <c r="Y13" s="15"/>
      <c r="Z13" s="15"/>
      <c r="AA13" s="15"/>
      <c r="AB13" s="17">
        <f>COUNTIF($AB14:$AG23,"•")</f>
        <v>11</v>
      </c>
      <c r="AC13" s="17">
        <f>COUNTIF($AB14:$AG23,"F")</f>
        <v>1</v>
      </c>
      <c r="AD13" s="17"/>
      <c r="AE13" s="17"/>
      <c r="AF13" s="17"/>
      <c r="AJ13" t="str">
        <f t="shared" si="0"/>
        <v>_25</v>
      </c>
      <c r="AK13">
        <v>2</v>
      </c>
      <c r="AL13">
        <v>5</v>
      </c>
      <c r="AM13" s="8">
        <f t="shared" si="6"/>
        <v>18</v>
      </c>
    </row>
    <row r="14" spans="2:39" x14ac:dyDescent="0.3">
      <c r="B14" s="2" t="s">
        <v>5</v>
      </c>
      <c r="C14" s="10"/>
      <c r="D14" s="10"/>
      <c r="E14" s="10"/>
      <c r="F14" s="10"/>
      <c r="G14" s="12" t="s">
        <v>29</v>
      </c>
      <c r="H14" s="22"/>
      <c r="I14" s="12"/>
      <c r="J14" s="12"/>
      <c r="K14" s="25"/>
      <c r="L14" s="13"/>
      <c r="M14" s="13"/>
      <c r="N14" s="13"/>
      <c r="O14" s="13"/>
      <c r="P14" s="13"/>
      <c r="Q14" s="13"/>
      <c r="R14" s="13"/>
      <c r="S14" s="13"/>
      <c r="T14" s="13"/>
      <c r="U14" s="13"/>
      <c r="W14" s="14" t="s">
        <v>73</v>
      </c>
      <c r="X14" s="19" t="str">
        <f>REPT("•",COUNTIF($AB14:$AG14,"•"))</f>
        <v>•</v>
      </c>
      <c r="Y14" s="18" t="str">
        <f>X14&amp;REPT("•",COUNTIF($AB14:$AG14,"F"))&amp;REPT("•",COUNTIF($AB14:$AG14,"@"))</f>
        <v>•</v>
      </c>
      <c r="Z14" s="18">
        <v>2</v>
      </c>
      <c r="AA14" s="18">
        <f>COUNTIF($AB14:$AG14,"F")*Z14</f>
        <v>0</v>
      </c>
      <c r="AB14" s="20" t="s">
        <v>61</v>
      </c>
      <c r="AC14" s="20"/>
      <c r="AD14" s="20"/>
      <c r="AE14" s="20"/>
      <c r="AF14" s="20"/>
      <c r="AJ14" t="str">
        <f t="shared" si="0"/>
        <v>_34</v>
      </c>
      <c r="AK14">
        <v>3</v>
      </c>
      <c r="AL14">
        <v>4</v>
      </c>
      <c r="AM14" s="9">
        <f t="shared" si="6"/>
        <v>6</v>
      </c>
    </row>
    <row r="15" spans="2:39" x14ac:dyDescent="0.3">
      <c r="B15" t="s">
        <v>89</v>
      </c>
      <c r="F15" s="10"/>
      <c r="G15" s="18" t="s">
        <v>76</v>
      </c>
      <c r="H15" s="19" t="str">
        <f>REPT("•",COUNTIF($L25:$V25,"•"))</f>
        <v>••</v>
      </c>
      <c r="I15" s="18" t="str">
        <f>H15&amp;REPT("•",COUNTIF($L25:$V25,"@"))</f>
        <v>••</v>
      </c>
      <c r="J15" s="18">
        <v>1</v>
      </c>
      <c r="K15" s="18">
        <f>IF(I15=H15,0,J15)</f>
        <v>0</v>
      </c>
      <c r="L15" s="20" t="s">
        <v>61</v>
      </c>
      <c r="M15" s="20" t="s">
        <v>61</v>
      </c>
      <c r="N15" s="20" t="s">
        <v>61</v>
      </c>
      <c r="O15" s="20" t="s">
        <v>61</v>
      </c>
      <c r="P15" s="20" t="s">
        <v>61</v>
      </c>
      <c r="Q15" s="20"/>
      <c r="R15" s="20"/>
      <c r="S15" s="20"/>
      <c r="T15" s="20"/>
      <c r="U15" s="20"/>
      <c r="W15" s="31" t="s">
        <v>44</v>
      </c>
      <c r="X15" s="19" t="str">
        <f t="shared" ref="X15:X23" si="8">REPT("•",COUNTIF($AB15:$AG15,"•"))</f>
        <v/>
      </c>
      <c r="Y15" s="18" t="str">
        <f t="shared" ref="Y15:Y23" si="9">X15&amp;REPT("•",COUNTIF($AB15:$AG15,"F"))&amp;REPT("•",COUNTIF($AB15:$AG15,"@"))</f>
        <v/>
      </c>
      <c r="Z15" s="18">
        <v>2</v>
      </c>
      <c r="AA15" s="18">
        <f t="shared" ref="AA15:AA23" si="10">COUNTIF($AB15:$AG15,"F")*Z15</f>
        <v>0</v>
      </c>
      <c r="AB15" s="20"/>
      <c r="AC15" s="20"/>
      <c r="AD15" s="20"/>
      <c r="AE15" s="20"/>
      <c r="AF15" s="20"/>
      <c r="AJ15" t="str">
        <f t="shared" si="0"/>
        <v>_35</v>
      </c>
      <c r="AK15">
        <v>3</v>
      </c>
      <c r="AL15">
        <v>5</v>
      </c>
      <c r="AM15" s="9">
        <f t="shared" si="6"/>
        <v>14</v>
      </c>
    </row>
    <row r="16" spans="2:39" x14ac:dyDescent="0.3">
      <c r="B16" s="2" t="s">
        <v>76</v>
      </c>
      <c r="C16" s="10"/>
      <c r="D16" s="10"/>
      <c r="E16" s="10"/>
      <c r="F16" s="10"/>
      <c r="G16" s="18" t="s">
        <v>30</v>
      </c>
      <c r="H16" s="19" t="str">
        <f>REPT("•",COUNTIF($L26:$V26,"•"))</f>
        <v>••</v>
      </c>
      <c r="I16" s="18" t="str">
        <f>H16&amp;REPT("•",COUNTIF($L26:$V26,"@"))</f>
        <v>••</v>
      </c>
      <c r="J16" s="18">
        <v>1</v>
      </c>
      <c r="K16" s="18">
        <f t="shared" ref="K16:K17" si="11">IF(I16=H16,0,J16)</f>
        <v>0</v>
      </c>
      <c r="L16" s="20" t="s">
        <v>61</v>
      </c>
      <c r="M16" s="20" t="s">
        <v>61</v>
      </c>
      <c r="N16" s="20"/>
      <c r="O16" s="20"/>
      <c r="P16" s="20"/>
      <c r="Q16" s="20"/>
      <c r="R16" s="20"/>
      <c r="S16" s="20"/>
      <c r="T16" s="20"/>
      <c r="U16" s="20"/>
      <c r="W16" s="31" t="s">
        <v>45</v>
      </c>
      <c r="X16" s="19" t="str">
        <f t="shared" si="8"/>
        <v/>
      </c>
      <c r="Y16" s="18" t="str">
        <f t="shared" si="9"/>
        <v/>
      </c>
      <c r="Z16" s="18">
        <v>2</v>
      </c>
      <c r="AA16" s="18">
        <f t="shared" si="10"/>
        <v>0</v>
      </c>
      <c r="AB16" s="20"/>
      <c r="AC16" s="20"/>
      <c r="AD16" s="20"/>
      <c r="AE16" s="20"/>
      <c r="AF16" s="20"/>
      <c r="AJ16" t="str">
        <f t="shared" si="0"/>
        <v>_45</v>
      </c>
      <c r="AK16">
        <v>4</v>
      </c>
      <c r="AL16">
        <v>5</v>
      </c>
      <c r="AM16" s="6">
        <f t="shared" si="6"/>
        <v>8</v>
      </c>
    </row>
    <row r="17" spans="2:37" x14ac:dyDescent="0.3">
      <c r="B17" s="3" t="s">
        <v>77</v>
      </c>
      <c r="C17" s="11"/>
      <c r="D17" s="11"/>
      <c r="E17" s="10"/>
      <c r="F17" s="10"/>
      <c r="G17" s="18" t="s">
        <v>77</v>
      </c>
      <c r="H17" s="19" t="str">
        <f>REPT("•",COUNTIF($L27:$V27,"•"))</f>
        <v>••</v>
      </c>
      <c r="I17" s="18" t="str">
        <f>H17&amp;REPT("•",COUNTIF($L27:$V27,"@"))</f>
        <v>••</v>
      </c>
      <c r="J17" s="18">
        <v>2</v>
      </c>
      <c r="K17" s="18">
        <f t="shared" si="11"/>
        <v>0</v>
      </c>
      <c r="L17" s="20" t="s">
        <v>61</v>
      </c>
      <c r="M17" s="20" t="s">
        <v>61</v>
      </c>
      <c r="N17" s="20" t="s">
        <v>61</v>
      </c>
      <c r="O17" s="20" t="s">
        <v>61</v>
      </c>
      <c r="P17" s="20" t="s">
        <v>61</v>
      </c>
      <c r="Q17" s="20" t="s">
        <v>61</v>
      </c>
      <c r="R17" s="20"/>
      <c r="S17" s="20"/>
      <c r="T17" s="20"/>
      <c r="U17" s="20"/>
      <c r="W17" s="31" t="s">
        <v>46</v>
      </c>
      <c r="X17" s="19" t="str">
        <f t="shared" si="8"/>
        <v/>
      </c>
      <c r="Y17" s="18" t="str">
        <f t="shared" si="9"/>
        <v>•</v>
      </c>
      <c r="Z17" s="18">
        <v>2</v>
      </c>
      <c r="AA17" s="18">
        <f t="shared" si="10"/>
        <v>2</v>
      </c>
      <c r="AB17" s="20" t="s">
        <v>95</v>
      </c>
      <c r="AC17" s="20"/>
      <c r="AD17" s="20"/>
      <c r="AE17" s="20"/>
      <c r="AF17" s="20"/>
    </row>
    <row r="18" spans="2:37" x14ac:dyDescent="0.3">
      <c r="B18" s="10"/>
      <c r="C18" s="10"/>
      <c r="D18" s="10"/>
      <c r="E18" s="10"/>
      <c r="F18" s="10"/>
      <c r="G18" s="12" t="s">
        <v>31</v>
      </c>
      <c r="H18" s="22"/>
      <c r="I18" s="12"/>
      <c r="J18" s="12"/>
      <c r="K18" s="25"/>
      <c r="L18" s="34">
        <f>COUNTIF($L19:$U27,"•")</f>
        <v>33</v>
      </c>
      <c r="M18" s="34">
        <f>COUNTIF($L19:$U27,"F")</f>
        <v>0</v>
      </c>
      <c r="N18" s="13"/>
      <c r="O18" s="13"/>
      <c r="P18" s="13"/>
      <c r="Q18" s="13"/>
      <c r="R18" s="13"/>
      <c r="S18" s="13"/>
      <c r="T18" s="13"/>
      <c r="U18" s="13"/>
      <c r="W18" s="31" t="s">
        <v>47</v>
      </c>
      <c r="X18" s="19" t="str">
        <f>REPT("•",COUNTIF($AB18:$AG18,"•"))</f>
        <v/>
      </c>
      <c r="Y18" s="18" t="str">
        <f t="shared" si="9"/>
        <v/>
      </c>
      <c r="Z18" s="18">
        <v>2</v>
      </c>
      <c r="AA18" s="18">
        <f t="shared" si="10"/>
        <v>0</v>
      </c>
      <c r="AB18" s="20"/>
      <c r="AC18" s="20"/>
      <c r="AD18" s="20"/>
      <c r="AE18" s="20"/>
      <c r="AF18" s="20"/>
    </row>
    <row r="19" spans="2:37" x14ac:dyDescent="0.3">
      <c r="B19" s="2" t="s">
        <v>69</v>
      </c>
      <c r="C19" s="10">
        <f>SUM(C22,-C23,C24)</f>
        <v>17</v>
      </c>
      <c r="D19" s="10">
        <v>4</v>
      </c>
      <c r="E19" s="10"/>
      <c r="F19" s="10"/>
      <c r="G19" t="s">
        <v>98</v>
      </c>
      <c r="H19"/>
      <c r="I19"/>
      <c r="J19"/>
      <c r="K19"/>
      <c r="L19" s="20" t="s">
        <v>61</v>
      </c>
      <c r="M19" s="20" t="s">
        <v>61</v>
      </c>
      <c r="N19" s="20" t="s">
        <v>61</v>
      </c>
      <c r="O19" s="20" t="s">
        <v>61</v>
      </c>
      <c r="P19" s="20" t="s">
        <v>61</v>
      </c>
      <c r="Q19" s="20"/>
      <c r="R19" s="20"/>
      <c r="S19" s="20"/>
      <c r="T19" s="20"/>
      <c r="U19" s="20"/>
      <c r="W19" s="18" t="s">
        <v>40</v>
      </c>
      <c r="X19" s="19" t="str">
        <f t="shared" si="8"/>
        <v>••</v>
      </c>
      <c r="Y19" s="18" t="str">
        <f t="shared" si="9"/>
        <v>••</v>
      </c>
      <c r="Z19" s="18">
        <v>2</v>
      </c>
      <c r="AA19" s="18">
        <f t="shared" si="10"/>
        <v>0</v>
      </c>
      <c r="AB19" s="20" t="s">
        <v>61</v>
      </c>
      <c r="AC19" s="20" t="s">
        <v>61</v>
      </c>
      <c r="AD19" s="20"/>
      <c r="AE19" s="20"/>
      <c r="AF19" s="20"/>
      <c r="AI19" s="33" t="s">
        <v>93</v>
      </c>
      <c r="AJ19" s="33"/>
      <c r="AK19" s="33"/>
    </row>
    <row r="20" spans="2:37" x14ac:dyDescent="0.3">
      <c r="B20" s="2" t="s">
        <v>70</v>
      </c>
      <c r="C20" s="10">
        <f>SUM(C11:C17)</f>
        <v>0</v>
      </c>
      <c r="D20" s="10">
        <f>SUM(D11:D17)</f>
        <v>0</v>
      </c>
      <c r="E20" s="10"/>
      <c r="F20" s="10"/>
      <c r="G20" t="s">
        <v>101</v>
      </c>
      <c r="H20"/>
      <c r="I20"/>
      <c r="J20"/>
      <c r="K20"/>
      <c r="L20" s="20" t="s">
        <v>61</v>
      </c>
      <c r="M20" s="20" t="s">
        <v>61</v>
      </c>
      <c r="N20" s="20" t="s">
        <v>61</v>
      </c>
      <c r="O20" s="20" t="s">
        <v>61</v>
      </c>
      <c r="P20" s="20" t="s">
        <v>61</v>
      </c>
      <c r="Q20" s="20"/>
      <c r="R20" s="20"/>
      <c r="S20" s="20"/>
      <c r="T20" s="20"/>
      <c r="U20" s="20"/>
      <c r="W20" s="18" t="s">
        <v>48</v>
      </c>
      <c r="X20" s="19" t="str">
        <f t="shared" si="8"/>
        <v>••</v>
      </c>
      <c r="Y20" s="18" t="str">
        <f t="shared" si="9"/>
        <v>••</v>
      </c>
      <c r="Z20" s="18">
        <v>2</v>
      </c>
      <c r="AA20" s="18">
        <f t="shared" si="10"/>
        <v>0</v>
      </c>
      <c r="AB20" s="20" t="s">
        <v>61</v>
      </c>
      <c r="AC20" s="20" t="s">
        <v>61</v>
      </c>
      <c r="AD20" s="20"/>
      <c r="AE20" s="20"/>
      <c r="AF20" s="20"/>
      <c r="AI20" s="33"/>
      <c r="AJ20" s="33"/>
      <c r="AK20" s="33"/>
    </row>
    <row r="21" spans="2:37" x14ac:dyDescent="0.3">
      <c r="B21" s="10"/>
      <c r="C21" s="10"/>
      <c r="D21" s="10"/>
      <c r="E21" s="10"/>
      <c r="F21" s="10"/>
      <c r="G21" t="s">
        <v>104</v>
      </c>
      <c r="H21"/>
      <c r="I21"/>
      <c r="J21"/>
      <c r="K21"/>
      <c r="L21" s="20" t="s">
        <v>61</v>
      </c>
      <c r="M21" s="20" t="s">
        <v>61</v>
      </c>
      <c r="N21" s="20" t="s">
        <v>61</v>
      </c>
      <c r="O21" s="20" t="s">
        <v>61</v>
      </c>
      <c r="P21" s="20" t="s">
        <v>61</v>
      </c>
      <c r="Q21" s="20"/>
      <c r="R21" s="20"/>
      <c r="S21" s="20"/>
      <c r="T21" s="20"/>
      <c r="U21" s="20"/>
      <c r="W21" s="18" t="s">
        <v>49</v>
      </c>
      <c r="X21" s="19" t="str">
        <f t="shared" si="8"/>
        <v/>
      </c>
      <c r="Y21" s="18" t="str">
        <f t="shared" si="9"/>
        <v/>
      </c>
      <c r="Z21" s="18">
        <v>2</v>
      </c>
      <c r="AA21" s="18">
        <f t="shared" si="10"/>
        <v>0</v>
      </c>
      <c r="AB21" s="20"/>
      <c r="AC21" s="20"/>
      <c r="AD21" s="20"/>
      <c r="AE21" s="20"/>
      <c r="AF21" s="20"/>
      <c r="AI21" s="33"/>
      <c r="AJ21" s="33"/>
      <c r="AK21" s="33"/>
    </row>
    <row r="22" spans="2:37" x14ac:dyDescent="0.3">
      <c r="B22" s="10" t="s">
        <v>66</v>
      </c>
      <c r="C22" s="10">
        <v>15</v>
      </c>
      <c r="D22" s="10"/>
      <c r="E22" s="10"/>
      <c r="F22" s="10"/>
      <c r="G22" t="s">
        <v>105</v>
      </c>
      <c r="H22"/>
      <c r="I22"/>
      <c r="J22"/>
      <c r="K22"/>
      <c r="L22" s="20" t="s">
        <v>61</v>
      </c>
      <c r="M22" s="20" t="s">
        <v>61</v>
      </c>
      <c r="N22" s="20"/>
      <c r="O22" s="20"/>
      <c r="P22" s="20"/>
      <c r="Q22" s="20"/>
      <c r="R22" s="20"/>
      <c r="S22" s="20"/>
      <c r="T22" s="20"/>
      <c r="U22" s="20"/>
      <c r="W22" s="18" t="s">
        <v>50</v>
      </c>
      <c r="X22" s="19" t="str">
        <f t="shared" si="8"/>
        <v>•••</v>
      </c>
      <c r="Y22" s="18" t="str">
        <f t="shared" si="9"/>
        <v>•••</v>
      </c>
      <c r="Z22" s="18">
        <v>2</v>
      </c>
      <c r="AA22" s="18">
        <f t="shared" si="10"/>
        <v>0</v>
      </c>
      <c r="AB22" s="20" t="s">
        <v>61</v>
      </c>
      <c r="AC22" s="20" t="s">
        <v>61</v>
      </c>
      <c r="AD22" s="20" t="s">
        <v>61</v>
      </c>
      <c r="AE22" s="20"/>
      <c r="AF22" s="20"/>
    </row>
    <row r="23" spans="2:37" x14ac:dyDescent="0.3">
      <c r="B23" s="10" t="s">
        <v>67</v>
      </c>
      <c r="C23" s="10">
        <v>4</v>
      </c>
      <c r="D23" s="10"/>
      <c r="E23" s="10"/>
      <c r="F23" s="10"/>
      <c r="G23" t="s">
        <v>106</v>
      </c>
      <c r="H23"/>
      <c r="I23"/>
      <c r="J23"/>
      <c r="K23"/>
      <c r="L23" s="20" t="s">
        <v>61</v>
      </c>
      <c r="M23" s="20" t="s">
        <v>61</v>
      </c>
      <c r="N23" s="20" t="s">
        <v>61</v>
      </c>
      <c r="O23" s="20" t="s">
        <v>61</v>
      </c>
      <c r="P23" s="20" t="s">
        <v>61</v>
      </c>
      <c r="Q23" s="20"/>
      <c r="R23" s="20"/>
      <c r="S23" s="20"/>
      <c r="T23" s="20"/>
      <c r="U23" s="20"/>
      <c r="W23" s="18" t="s">
        <v>51</v>
      </c>
      <c r="X23" s="19" t="str">
        <f t="shared" si="8"/>
        <v>•••</v>
      </c>
      <c r="Y23" s="18" t="str">
        <f t="shared" si="9"/>
        <v>•••</v>
      </c>
      <c r="Z23" s="18">
        <v>2</v>
      </c>
      <c r="AA23" s="18">
        <f t="shared" si="10"/>
        <v>0</v>
      </c>
      <c r="AB23" s="20" t="s">
        <v>61</v>
      </c>
      <c r="AC23" s="20" t="s">
        <v>61</v>
      </c>
      <c r="AD23" s="20" t="s">
        <v>61</v>
      </c>
      <c r="AE23" s="20"/>
      <c r="AF23" s="20"/>
    </row>
    <row r="24" spans="2:37" x14ac:dyDescent="0.3">
      <c r="B24" s="10" t="s">
        <v>68</v>
      </c>
      <c r="C24" s="10">
        <v>6</v>
      </c>
      <c r="D24" s="10"/>
      <c r="E24" s="10"/>
      <c r="F24" s="10"/>
      <c r="G24" s="14" t="s">
        <v>107</v>
      </c>
      <c r="L24" s="20" t="s">
        <v>61</v>
      </c>
      <c r="M24" s="20" t="s">
        <v>61</v>
      </c>
      <c r="N24" s="20" t="s">
        <v>61</v>
      </c>
      <c r="O24" s="20" t="s">
        <v>61</v>
      </c>
      <c r="P24" s="20" t="s">
        <v>61</v>
      </c>
      <c r="W24" s="15" t="s">
        <v>52</v>
      </c>
      <c r="X24" s="16"/>
      <c r="Y24" s="15"/>
      <c r="Z24" s="15"/>
      <c r="AA24" s="15"/>
      <c r="AB24" s="17">
        <f>COUNTIF($AB25:$AG34,"•")</f>
        <v>6</v>
      </c>
      <c r="AC24" s="17">
        <f>COUNTIF($AB25:$AG34,"F")</f>
        <v>3</v>
      </c>
      <c r="AD24" s="17"/>
      <c r="AE24" s="17"/>
      <c r="AF24" s="17"/>
    </row>
    <row r="25" spans="2:37" x14ac:dyDescent="0.3">
      <c r="G25" t="s">
        <v>99</v>
      </c>
      <c r="H25"/>
      <c r="I25"/>
      <c r="J25"/>
      <c r="K25"/>
      <c r="L25" s="20" t="s">
        <v>61</v>
      </c>
      <c r="M25" s="20" t="s">
        <v>61</v>
      </c>
      <c r="N25" s="20"/>
      <c r="O25" s="20"/>
      <c r="P25" s="20"/>
      <c r="Q25" s="20"/>
      <c r="R25" s="20"/>
      <c r="S25" s="20"/>
      <c r="T25" s="20"/>
      <c r="U25" s="20"/>
      <c r="W25" s="31" t="s">
        <v>53</v>
      </c>
      <c r="X25" s="19" t="str">
        <f>REPT("•",COUNTIF($AB25:$AG25,"•"))</f>
        <v/>
      </c>
      <c r="Y25" s="18" t="str">
        <f>X25&amp;REPT("•",COUNTIF($AB25:$AG25,"F"))&amp;REPT("•",COUNTIF($AB25:$AG25,"@"))</f>
        <v/>
      </c>
      <c r="Z25" s="18">
        <v>2</v>
      </c>
      <c r="AA25" s="18">
        <f>COUNTIF($AB25:$AG25,"F")*Z25</f>
        <v>0</v>
      </c>
      <c r="AB25" s="20"/>
      <c r="AC25" s="20"/>
      <c r="AD25" s="20"/>
      <c r="AE25" s="20"/>
      <c r="AF25" s="20"/>
    </row>
    <row r="26" spans="2:37" x14ac:dyDescent="0.3">
      <c r="G26" t="s">
        <v>103</v>
      </c>
      <c r="H26"/>
      <c r="I26"/>
      <c r="J26"/>
      <c r="K26"/>
      <c r="L26" s="20" t="s">
        <v>61</v>
      </c>
      <c r="M26" s="20" t="s">
        <v>61</v>
      </c>
      <c r="N26" s="20"/>
      <c r="O26" s="20"/>
      <c r="P26" s="20"/>
      <c r="Q26" s="20"/>
      <c r="R26" s="20"/>
      <c r="S26" s="20"/>
      <c r="T26" s="20"/>
      <c r="U26" s="20"/>
      <c r="V26" s="20"/>
      <c r="W26" s="18" t="s">
        <v>54</v>
      </c>
      <c r="X26" s="19" t="str">
        <f t="shared" ref="X26:X34" si="12">REPT("•",COUNTIF($AB26:$AG26,"•"))</f>
        <v>••</v>
      </c>
      <c r="Y26" s="18" t="str">
        <f t="shared" ref="Y26:Y34" si="13">X26&amp;REPT("•",COUNTIF($AB26:$AG26,"F"))&amp;REPT("•",COUNTIF($AB26:$AG26,"@"))</f>
        <v>••</v>
      </c>
      <c r="Z26" s="18">
        <v>2</v>
      </c>
      <c r="AA26" s="18">
        <f t="shared" ref="AA26:AA34" si="14">COUNTIF($AB26:$AG26,"F")*Z26</f>
        <v>0</v>
      </c>
      <c r="AB26" s="20" t="s">
        <v>61</v>
      </c>
      <c r="AC26" s="20" t="s">
        <v>61</v>
      </c>
      <c r="AD26" s="20"/>
      <c r="AE26" s="20"/>
      <c r="AF26" s="20"/>
    </row>
    <row r="27" spans="2:37" x14ac:dyDescent="0.3">
      <c r="G27" t="s">
        <v>100</v>
      </c>
      <c r="H27"/>
      <c r="I27"/>
      <c r="J27"/>
      <c r="K27"/>
      <c r="L27" s="20" t="s">
        <v>61</v>
      </c>
      <c r="M27" s="20" t="s">
        <v>61</v>
      </c>
      <c r="N27" s="20"/>
      <c r="O27" s="20"/>
      <c r="P27" s="20"/>
      <c r="Q27" s="20"/>
      <c r="R27" s="20"/>
      <c r="S27" s="20"/>
      <c r="T27" s="20"/>
      <c r="U27" s="20"/>
      <c r="W27" s="18" t="s">
        <v>55</v>
      </c>
      <c r="X27" s="19" t="str">
        <f t="shared" si="12"/>
        <v>••</v>
      </c>
      <c r="Y27" s="18" t="str">
        <f t="shared" si="13"/>
        <v>••</v>
      </c>
      <c r="Z27" s="18">
        <v>2</v>
      </c>
      <c r="AA27" s="18">
        <f t="shared" si="14"/>
        <v>0</v>
      </c>
      <c r="AB27" s="20" t="s">
        <v>61</v>
      </c>
      <c r="AC27" s="20" t="s">
        <v>61</v>
      </c>
      <c r="AD27" s="20"/>
      <c r="AE27" s="20"/>
      <c r="AF27" s="20"/>
    </row>
    <row r="28" spans="2:37" x14ac:dyDescent="0.3">
      <c r="G28" t="s">
        <v>102</v>
      </c>
      <c r="H28"/>
      <c r="I28"/>
      <c r="J28"/>
      <c r="K28"/>
      <c r="L28" s="20" t="s">
        <v>61</v>
      </c>
      <c r="M28" s="20"/>
      <c r="N28" s="20"/>
      <c r="O28" s="20"/>
      <c r="P28" s="20"/>
      <c r="Q28" s="20"/>
      <c r="R28" s="20"/>
      <c r="S28" s="20"/>
      <c r="T28" s="20"/>
      <c r="U28" s="20"/>
      <c r="W28" s="31" t="s">
        <v>56</v>
      </c>
      <c r="X28" s="19" t="str">
        <f t="shared" si="12"/>
        <v/>
      </c>
      <c r="Y28" s="18" t="str">
        <f t="shared" si="13"/>
        <v/>
      </c>
      <c r="Z28" s="18">
        <v>2</v>
      </c>
      <c r="AA28" s="18">
        <f t="shared" si="14"/>
        <v>0</v>
      </c>
      <c r="AB28" s="20"/>
      <c r="AC28" s="20"/>
      <c r="AD28" s="20"/>
      <c r="AE28" s="20"/>
      <c r="AF28" s="20"/>
    </row>
    <row r="29" spans="2:37" x14ac:dyDescent="0.3">
      <c r="W29" s="31" t="s">
        <v>57</v>
      </c>
      <c r="X29" s="19" t="str">
        <f t="shared" si="12"/>
        <v/>
      </c>
      <c r="Y29" s="18" t="str">
        <f t="shared" si="13"/>
        <v>••</v>
      </c>
      <c r="Z29" s="18">
        <v>2</v>
      </c>
      <c r="AA29" s="18">
        <f t="shared" si="14"/>
        <v>4</v>
      </c>
      <c r="AB29" s="20" t="s">
        <v>95</v>
      </c>
      <c r="AC29" s="20" t="s">
        <v>95</v>
      </c>
      <c r="AD29" s="20"/>
      <c r="AE29" s="20"/>
      <c r="AF29" s="20"/>
    </row>
    <row r="30" spans="2:37" x14ac:dyDescent="0.3">
      <c r="W30" s="18" t="s">
        <v>58</v>
      </c>
      <c r="X30" s="19" t="str">
        <f t="shared" si="12"/>
        <v>•</v>
      </c>
      <c r="Y30" s="18" t="str">
        <f t="shared" si="13"/>
        <v>•</v>
      </c>
      <c r="Z30" s="18">
        <v>2</v>
      </c>
      <c r="AA30" s="18">
        <f t="shared" si="14"/>
        <v>0</v>
      </c>
      <c r="AB30" s="20" t="s">
        <v>61</v>
      </c>
      <c r="AC30" s="20"/>
      <c r="AD30" s="20"/>
      <c r="AE30" s="20"/>
      <c r="AF30" s="20"/>
    </row>
    <row r="31" spans="2:37" x14ac:dyDescent="0.3">
      <c r="W31" s="18" t="s">
        <v>59</v>
      </c>
      <c r="X31" s="19" t="str">
        <f t="shared" si="12"/>
        <v/>
      </c>
      <c r="Y31" s="18" t="str">
        <f t="shared" si="13"/>
        <v>•</v>
      </c>
      <c r="Z31" s="18">
        <v>2</v>
      </c>
      <c r="AA31" s="18">
        <f t="shared" si="14"/>
        <v>2</v>
      </c>
      <c r="AB31" s="20" t="s">
        <v>97</v>
      </c>
      <c r="AC31" s="20"/>
      <c r="AD31" s="20"/>
      <c r="AE31" s="20"/>
      <c r="AF31" s="20"/>
    </row>
    <row r="32" spans="2:37" x14ac:dyDescent="0.3">
      <c r="W32" s="32" t="s">
        <v>74</v>
      </c>
      <c r="X32" s="19" t="str">
        <f t="shared" si="12"/>
        <v/>
      </c>
      <c r="Y32" s="18" t="str">
        <f t="shared" si="13"/>
        <v/>
      </c>
      <c r="Z32" s="18">
        <v>2</v>
      </c>
      <c r="AA32" s="18">
        <f t="shared" si="14"/>
        <v>0</v>
      </c>
      <c r="AB32" s="20"/>
      <c r="AC32" s="20"/>
      <c r="AD32" s="20"/>
      <c r="AE32" s="20"/>
      <c r="AF32" s="20"/>
    </row>
    <row r="33" spans="7:32" x14ac:dyDescent="0.3">
      <c r="W33" s="14" t="s">
        <v>75</v>
      </c>
      <c r="X33" s="19" t="str">
        <f t="shared" si="12"/>
        <v>•</v>
      </c>
      <c r="Y33" s="18" t="str">
        <f t="shared" si="13"/>
        <v>•</v>
      </c>
      <c r="Z33" s="18">
        <v>2</v>
      </c>
      <c r="AA33" s="18">
        <f t="shared" si="14"/>
        <v>0</v>
      </c>
      <c r="AB33" s="20" t="s">
        <v>61</v>
      </c>
      <c r="AC33" s="20"/>
      <c r="AD33" s="20"/>
      <c r="AE33" s="20"/>
      <c r="AF33" s="20"/>
    </row>
    <row r="34" spans="7:32" x14ac:dyDescent="0.3">
      <c r="W34" s="31" t="s">
        <v>60</v>
      </c>
      <c r="X34" s="19" t="str">
        <f t="shared" si="12"/>
        <v/>
      </c>
      <c r="Y34" s="18" t="str">
        <f t="shared" si="13"/>
        <v/>
      </c>
      <c r="Z34" s="18">
        <v>2</v>
      </c>
      <c r="AA34" s="18">
        <f t="shared" si="14"/>
        <v>0</v>
      </c>
      <c r="AB34" s="20"/>
      <c r="AC34" s="20"/>
      <c r="AD34" s="20"/>
      <c r="AE34" s="20"/>
      <c r="AF34" s="20"/>
    </row>
    <row r="35" spans="7:32" x14ac:dyDescent="0.3">
      <c r="W35" s="15" t="s">
        <v>96</v>
      </c>
      <c r="X35" s="16"/>
      <c r="Y35" s="15"/>
      <c r="Z35" s="15"/>
      <c r="AA35" s="15"/>
      <c r="AB35" s="17">
        <f>COUNTIF($AB36:$AG45,"•")</f>
        <v>25</v>
      </c>
      <c r="AC35" s="17">
        <f>COUNTIF($AB36:$AG45,"F")</f>
        <v>2</v>
      </c>
      <c r="AD35" s="17"/>
      <c r="AE35" s="17"/>
      <c r="AF35" s="17"/>
    </row>
    <row r="36" spans="7:32" x14ac:dyDescent="0.3">
      <c r="W36" s="18" t="s">
        <v>92</v>
      </c>
      <c r="X36" s="19" t="str">
        <f>REPT("•",COUNTIF($AB36:$AG36,"•"))</f>
        <v>•</v>
      </c>
      <c r="Y36" s="18" t="str">
        <f>X36&amp;REPT("•",COUNTIF($AB36:$AG36,"F"))&amp;REPT("•",COUNTIF($AB36:$AG36,"@"))</f>
        <v>•</v>
      </c>
      <c r="Z36" s="18">
        <v>2</v>
      </c>
      <c r="AA36" s="18">
        <f>COUNTIF($AB36:$AG36,"F")*Z36</f>
        <v>0</v>
      </c>
      <c r="AB36" s="20" t="s">
        <v>61</v>
      </c>
      <c r="AC36" s="20"/>
      <c r="AD36" s="20"/>
      <c r="AE36" s="20"/>
      <c r="AF36" s="20"/>
    </row>
    <row r="37" spans="7:32" x14ac:dyDescent="0.3">
      <c r="W37" s="18" t="s">
        <v>94</v>
      </c>
      <c r="X37" s="19" t="str">
        <f t="shared" ref="X37:X40" si="15">REPT("•",COUNTIF($AB37:$AG37,"•"))</f>
        <v/>
      </c>
      <c r="Y37" s="18" t="str">
        <f t="shared" ref="Y37:Y45" si="16">X37&amp;REPT("•",COUNTIF($AB37:$AG37,"F"))&amp;REPT("•",COUNTIF($AB37:$AG37,"@"))</f>
        <v>••</v>
      </c>
      <c r="Z37" s="18">
        <v>2</v>
      </c>
      <c r="AA37" s="18">
        <f t="shared" ref="AA37:AA45" si="17">COUNTIF($AB37:$AG37,"F")*Z37</f>
        <v>4</v>
      </c>
      <c r="AB37" s="20" t="s">
        <v>95</v>
      </c>
      <c r="AC37" s="20" t="s">
        <v>95</v>
      </c>
      <c r="AD37" s="20"/>
      <c r="AE37" s="20"/>
      <c r="AF37" s="20"/>
    </row>
    <row r="38" spans="7:32" x14ac:dyDescent="0.3">
      <c r="X38" s="19" t="str">
        <f t="shared" si="15"/>
        <v>•••</v>
      </c>
      <c r="Y38" s="18" t="str">
        <f t="shared" si="16"/>
        <v>•••</v>
      </c>
      <c r="Z38" s="18">
        <v>2</v>
      </c>
      <c r="AA38" s="18">
        <f t="shared" si="17"/>
        <v>0</v>
      </c>
      <c r="AB38" s="20" t="s">
        <v>61</v>
      </c>
      <c r="AC38" s="20" t="s">
        <v>61</v>
      </c>
      <c r="AD38" s="20" t="s">
        <v>61</v>
      </c>
      <c r="AE38" s="20"/>
      <c r="AF38" s="20"/>
    </row>
    <row r="39" spans="7:32" x14ac:dyDescent="0.3">
      <c r="X39" s="19" t="str">
        <f t="shared" si="15"/>
        <v>•••</v>
      </c>
      <c r="Y39" s="18" t="str">
        <f t="shared" si="16"/>
        <v>•••</v>
      </c>
      <c r="Z39" s="18">
        <v>2</v>
      </c>
      <c r="AA39" s="18">
        <f t="shared" si="17"/>
        <v>0</v>
      </c>
      <c r="AB39" s="20" t="s">
        <v>61</v>
      </c>
      <c r="AC39" s="20" t="s">
        <v>61</v>
      </c>
      <c r="AD39" s="20" t="s">
        <v>61</v>
      </c>
      <c r="AE39" s="20"/>
      <c r="AF39" s="20"/>
    </row>
    <row r="40" spans="7:32" x14ac:dyDescent="0.3">
      <c r="X40" s="19" t="str">
        <f t="shared" si="15"/>
        <v>•••</v>
      </c>
      <c r="Y40" s="18" t="str">
        <f t="shared" si="16"/>
        <v>•••</v>
      </c>
      <c r="Z40" s="18">
        <v>2</v>
      </c>
      <c r="AA40" s="18">
        <f t="shared" si="17"/>
        <v>0</v>
      </c>
      <c r="AB40" s="20" t="s">
        <v>61</v>
      </c>
      <c r="AC40" s="20" t="s">
        <v>61</v>
      </c>
      <c r="AD40" s="20" t="s">
        <v>61</v>
      </c>
      <c r="AE40" s="20"/>
      <c r="AF40" s="20"/>
    </row>
    <row r="41" spans="7:32" x14ac:dyDescent="0.3">
      <c r="Y41" s="18" t="str">
        <f t="shared" si="16"/>
        <v/>
      </c>
      <c r="Z41" s="14">
        <v>2</v>
      </c>
      <c r="AA41" s="18">
        <f t="shared" si="17"/>
        <v>0</v>
      </c>
      <c r="AB41" s="20" t="s">
        <v>61</v>
      </c>
      <c r="AC41" s="20" t="s">
        <v>61</v>
      </c>
      <c r="AD41" s="20" t="s">
        <v>61</v>
      </c>
    </row>
    <row r="42" spans="7:32" x14ac:dyDescent="0.3">
      <c r="Y42" s="18" t="str">
        <f t="shared" si="16"/>
        <v/>
      </c>
      <c r="Z42" s="14">
        <v>2</v>
      </c>
      <c r="AA42" s="18">
        <f t="shared" si="17"/>
        <v>0</v>
      </c>
      <c r="AB42" s="20" t="s">
        <v>61</v>
      </c>
      <c r="AC42" s="20" t="s">
        <v>61</v>
      </c>
      <c r="AD42" s="20" t="s">
        <v>61</v>
      </c>
    </row>
    <row r="43" spans="7:32" x14ac:dyDescent="0.3">
      <c r="Y43" s="18" t="str">
        <f t="shared" si="16"/>
        <v/>
      </c>
      <c r="Z43" s="14">
        <v>2</v>
      </c>
      <c r="AA43" s="18">
        <f t="shared" si="17"/>
        <v>0</v>
      </c>
      <c r="AB43" s="20" t="s">
        <v>61</v>
      </c>
      <c r="AC43" s="20" t="s">
        <v>61</v>
      </c>
      <c r="AD43" s="20" t="s">
        <v>61</v>
      </c>
    </row>
    <row r="44" spans="7:32" x14ac:dyDescent="0.3">
      <c r="Y44" s="18" t="str">
        <f t="shared" si="16"/>
        <v/>
      </c>
      <c r="Z44" s="14">
        <v>2</v>
      </c>
      <c r="AA44" s="18">
        <f t="shared" si="17"/>
        <v>0</v>
      </c>
      <c r="AB44" s="20" t="s">
        <v>61</v>
      </c>
      <c r="AC44" s="20" t="s">
        <v>61</v>
      </c>
      <c r="AD44" s="20" t="s">
        <v>61</v>
      </c>
    </row>
    <row r="45" spans="7:32" x14ac:dyDescent="0.3">
      <c r="Y45" s="18" t="str">
        <f t="shared" si="16"/>
        <v/>
      </c>
      <c r="Z45" s="14">
        <v>2</v>
      </c>
      <c r="AA45" s="18">
        <f t="shared" si="17"/>
        <v>0</v>
      </c>
      <c r="AB45" s="20" t="s">
        <v>61</v>
      </c>
      <c r="AC45" s="20" t="s">
        <v>61</v>
      </c>
      <c r="AD45" s="20" t="s">
        <v>61</v>
      </c>
    </row>
    <row r="46" spans="7:32" x14ac:dyDescent="0.3">
      <c r="G46" s="12" t="s">
        <v>87</v>
      </c>
      <c r="H46" s="13">
        <v>6</v>
      </c>
      <c r="I46" s="13">
        <v>7</v>
      </c>
      <c r="J46" s="13">
        <v>6</v>
      </c>
      <c r="K46" s="13">
        <v>7</v>
      </c>
      <c r="L46" s="13">
        <v>6</v>
      </c>
    </row>
    <row r="47" spans="7:32" x14ac:dyDescent="0.3">
      <c r="G47" s="12" t="s">
        <v>16</v>
      </c>
      <c r="H47" s="13" t="s">
        <v>78</v>
      </c>
      <c r="I47" s="13" t="s">
        <v>79</v>
      </c>
      <c r="J47" s="13" t="s">
        <v>80</v>
      </c>
      <c r="K47" s="13" t="s">
        <v>81</v>
      </c>
      <c r="L47" s="13" t="s">
        <v>82</v>
      </c>
    </row>
    <row r="48" spans="7:32" x14ac:dyDescent="0.3">
      <c r="G48" s="15" t="s">
        <v>17</v>
      </c>
      <c r="H48" s="28"/>
      <c r="I48" s="17"/>
      <c r="J48" s="17"/>
      <c r="K48" s="17"/>
      <c r="L48" s="28"/>
    </row>
    <row r="49" spans="7:17" x14ac:dyDescent="0.3">
      <c r="G49" s="18" t="s">
        <v>18</v>
      </c>
      <c r="H49" s="27">
        <f>COUNTIF($L3:$V3,"•")</f>
        <v>4</v>
      </c>
      <c r="I49" s="27">
        <f>$H49+N49</f>
        <v>6</v>
      </c>
      <c r="J49" s="27">
        <f>$H49+O49</f>
        <v>7</v>
      </c>
      <c r="K49" s="27">
        <f>$H49+P49</f>
        <v>8</v>
      </c>
      <c r="L49" s="27">
        <f>$H49+Q49</f>
        <v>7</v>
      </c>
      <c r="N49" s="26">
        <v>2</v>
      </c>
      <c r="O49" s="26">
        <v>3</v>
      </c>
      <c r="P49" s="26">
        <v>4</v>
      </c>
      <c r="Q49" s="26">
        <v>3</v>
      </c>
    </row>
    <row r="50" spans="7:17" x14ac:dyDescent="0.3">
      <c r="G50" s="18" t="s">
        <v>19</v>
      </c>
      <c r="H50" s="27">
        <f>COUNTIF($L4:$V4,"•")</f>
        <v>3</v>
      </c>
      <c r="I50" s="27">
        <f>$H50+N50</f>
        <v>4</v>
      </c>
      <c r="J50" s="27">
        <f>$H50+O50</f>
        <v>5</v>
      </c>
      <c r="K50" s="27">
        <f>$H50+P50</f>
        <v>5</v>
      </c>
      <c r="L50" s="27">
        <f>$H50+Q50</f>
        <v>5</v>
      </c>
      <c r="N50" s="26">
        <v>1</v>
      </c>
      <c r="O50" s="26">
        <v>2</v>
      </c>
      <c r="P50" s="26">
        <v>2</v>
      </c>
      <c r="Q50" s="26">
        <v>2</v>
      </c>
    </row>
    <row r="51" spans="7:17" x14ac:dyDescent="0.3">
      <c r="G51" s="18" t="s">
        <v>20</v>
      </c>
      <c r="H51" s="27">
        <f>COUNTIF($L5:$V5,"•")</f>
        <v>3</v>
      </c>
      <c r="I51" s="27">
        <f>$H51+N51</f>
        <v>4</v>
      </c>
      <c r="J51" s="27">
        <f>$H51+O51</f>
        <v>6</v>
      </c>
      <c r="K51" s="27">
        <f>$H51+P51</f>
        <v>6</v>
      </c>
      <c r="L51" s="27">
        <f>$H51+Q51</f>
        <v>5</v>
      </c>
      <c r="N51" s="26">
        <v>1</v>
      </c>
      <c r="O51" s="26">
        <v>3</v>
      </c>
      <c r="P51" s="26">
        <v>3</v>
      </c>
      <c r="Q51" s="26">
        <v>2</v>
      </c>
    </row>
    <row r="52" spans="7:17" x14ac:dyDescent="0.3">
      <c r="G52" s="15" t="s">
        <v>21</v>
      </c>
      <c r="H52" s="28"/>
      <c r="I52" s="17"/>
      <c r="J52" s="17"/>
      <c r="K52" s="17"/>
      <c r="L52" s="28"/>
    </row>
    <row r="53" spans="7:17" x14ac:dyDescent="0.3">
      <c r="G53" s="18" t="s">
        <v>22</v>
      </c>
      <c r="H53" s="27">
        <f>COUNTIF($L7:$V7,"•")</f>
        <v>3</v>
      </c>
      <c r="I53" s="27">
        <f>$H53+N53</f>
        <v>3</v>
      </c>
      <c r="J53" s="27">
        <f>$H53+O53</f>
        <v>3</v>
      </c>
      <c r="K53" s="27">
        <f>$H53+P53</f>
        <v>3</v>
      </c>
      <c r="L53" s="27">
        <f>$H53+Q53</f>
        <v>3</v>
      </c>
      <c r="N53" s="26"/>
      <c r="O53" s="26"/>
      <c r="P53" s="26"/>
      <c r="Q53" s="26"/>
    </row>
    <row r="54" spans="7:17" x14ac:dyDescent="0.3">
      <c r="G54" s="18" t="s">
        <v>23</v>
      </c>
      <c r="H54" s="27">
        <f>COUNTIF($L8:$V8,"•")</f>
        <v>1</v>
      </c>
      <c r="I54" s="27">
        <f>$H54+N54</f>
        <v>0</v>
      </c>
      <c r="J54" s="27">
        <f>$H54+O54</f>
        <v>-2</v>
      </c>
      <c r="K54" s="27">
        <f>$H54+P54</f>
        <v>-2</v>
      </c>
      <c r="L54" s="27">
        <f>$H54+Q54</f>
        <v>-2</v>
      </c>
      <c r="N54" s="26">
        <v>-1</v>
      </c>
      <c r="O54" s="26">
        <v>-3</v>
      </c>
      <c r="P54" s="26">
        <v>-3</v>
      </c>
      <c r="Q54" s="26">
        <v>-3</v>
      </c>
    </row>
    <row r="55" spans="7:17" x14ac:dyDescent="0.3">
      <c r="G55" s="18" t="s">
        <v>24</v>
      </c>
      <c r="H55" s="27">
        <f>COUNTIF($L9:$V9,"•")</f>
        <v>2</v>
      </c>
      <c r="I55" s="27">
        <f>$H55+N55</f>
        <v>1</v>
      </c>
      <c r="J55" s="27">
        <f>$H55+O55</f>
        <v>0</v>
      </c>
      <c r="K55" s="27">
        <f>$H55+P55</f>
        <v>0</v>
      </c>
      <c r="L55" s="27">
        <f>$H55+Q55</f>
        <v>2</v>
      </c>
      <c r="N55" s="26">
        <v>-1</v>
      </c>
      <c r="O55" s="26">
        <f>-H55</f>
        <v>-2</v>
      </c>
      <c r="P55" s="26">
        <f>-H55</f>
        <v>-2</v>
      </c>
      <c r="Q55" s="26"/>
    </row>
    <row r="56" spans="7:17" x14ac:dyDescent="0.3">
      <c r="G56" s="15" t="s">
        <v>25</v>
      </c>
      <c r="H56" s="28"/>
      <c r="I56" s="17"/>
      <c r="J56" s="17"/>
      <c r="K56" s="17"/>
      <c r="L56" s="28"/>
    </row>
    <row r="57" spans="7:17" x14ac:dyDescent="0.3">
      <c r="G57" s="18" t="s">
        <v>26</v>
      </c>
      <c r="H57" s="27">
        <f>COUNTIF($L11:$V11,"•")</f>
        <v>3</v>
      </c>
      <c r="I57" s="27">
        <f>$H57+N57</f>
        <v>3</v>
      </c>
      <c r="J57" s="27">
        <f>$H57+O57</f>
        <v>3</v>
      </c>
      <c r="K57" s="27">
        <f>$H57+P57</f>
        <v>3</v>
      </c>
      <c r="L57" s="27">
        <f>$H57+Q57</f>
        <v>3</v>
      </c>
      <c r="N57" s="26"/>
      <c r="O57" s="26"/>
      <c r="P57" s="26"/>
      <c r="Q57" s="26"/>
    </row>
    <row r="58" spans="7:17" x14ac:dyDescent="0.3">
      <c r="G58" s="18" t="s">
        <v>27</v>
      </c>
      <c r="H58" s="27">
        <f>COUNTIF($L12:$V12,"•")</f>
        <v>2</v>
      </c>
      <c r="I58" s="27">
        <f>$H58+N58</f>
        <v>2</v>
      </c>
      <c r="J58" s="27">
        <f>$H58+O58</f>
        <v>2</v>
      </c>
      <c r="K58" s="27">
        <f>$H58+P58</f>
        <v>2</v>
      </c>
      <c r="L58" s="27">
        <f>$H58+Q58</f>
        <v>2</v>
      </c>
      <c r="N58" s="26"/>
      <c r="O58" s="26"/>
      <c r="P58" s="26"/>
      <c r="Q58" s="26"/>
    </row>
    <row r="59" spans="7:17" x14ac:dyDescent="0.3">
      <c r="G59" s="18" t="s">
        <v>28</v>
      </c>
      <c r="H59" s="27">
        <f>COUNTIF($L13:$V13,"•")</f>
        <v>3</v>
      </c>
      <c r="I59" s="27">
        <f>$H59+N59</f>
        <v>3</v>
      </c>
      <c r="J59" s="27">
        <f>$H59+O59</f>
        <v>3</v>
      </c>
      <c r="K59" s="27">
        <f>$H59+P59</f>
        <v>3</v>
      </c>
      <c r="L59" s="27">
        <f>$H59+Q59</f>
        <v>3</v>
      </c>
      <c r="N59" s="26"/>
      <c r="O59" s="26"/>
      <c r="P59" s="26"/>
      <c r="Q59" s="26"/>
    </row>
  </sheetData>
  <autoFilter ref="G18:U28" xr:uid="{58ED4DBB-4B9B-4D76-BD41-0582AD509625}">
    <sortState xmlns:xlrd2="http://schemas.microsoft.com/office/spreadsheetml/2017/richdata2" ref="G19:U28">
      <sortCondition ref="P18:P28"/>
    </sortState>
  </autoFilter>
  <mergeCells count="9">
    <mergeCell ref="D8:E8"/>
    <mergeCell ref="D4:E4"/>
    <mergeCell ref="D3:E3"/>
    <mergeCell ref="AI19:AK21"/>
    <mergeCell ref="D1:E1"/>
    <mergeCell ref="D2:E2"/>
    <mergeCell ref="D6:E6"/>
    <mergeCell ref="D7:E7"/>
    <mergeCell ref="D5:E5"/>
  </mergeCells>
  <conditionalFormatting sqref="C11:D14 C16:D17">
    <cfRule type="cellIs" dxfId="7" priority="8" operator="notEqual">
      <formula>0</formula>
    </cfRule>
  </conditionalFormatting>
  <conditionalFormatting sqref="K3:K13 K18">
    <cfRule type="cellIs" dxfId="6" priority="4" operator="equal">
      <formula>0</formula>
    </cfRule>
  </conditionalFormatting>
  <conditionalFormatting sqref="K14:K17">
    <cfRule type="cellIs" dxfId="5" priority="3" operator="equal">
      <formula>0</formula>
    </cfRule>
  </conditionalFormatting>
  <conditionalFormatting sqref="AA3:AA45">
    <cfRule type="cellIs" dxfId="4" priority="5" operator="equal">
      <formula>0</formula>
    </cfRule>
  </conditionalFormatting>
  <conditionalFormatting sqref="AD13:AF13 AD24:AF24 AB3:AF12 AB14:AF23 AE36:AF40 AB36:AD45 AD35:AF35 AB25:AF34 L3:V5 L7:V9 N6:V6 L11:V13 N10:V10 L19:U27 L14:U17 V14:V36 N18:U18 L28:P28">
    <cfRule type="cellIs" dxfId="3" priority="6" operator="equal">
      <formula>"•"</formula>
    </cfRule>
    <cfRule type="cellIs" dxfId="2" priority="7" operator="equal">
      <formula>"@"</formula>
    </cfRule>
  </conditionalFormatting>
  <conditionalFormatting sqref="AB3:AF12 AB14:AF23 AB36:AF45 L15:U17 L11:U13 L7:U9 L3:U5 AB25:AF34 L19:U27 L28:P28">
    <cfRule type="cellIs" dxfId="1" priority="2" operator="equal">
      <formula>"F"</formula>
    </cfRule>
  </conditionalFormatting>
  <conditionalFormatting sqref="L18:M18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Ремизова</dc:creator>
  <cp:lastModifiedBy>Екатерина Ремизова</cp:lastModifiedBy>
  <dcterms:created xsi:type="dcterms:W3CDTF">2025-06-23T15:49:04Z</dcterms:created>
  <dcterms:modified xsi:type="dcterms:W3CDTF">2025-08-10T21:42:39Z</dcterms:modified>
</cp:coreProperties>
</file>